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eodardo\Desktop\Apuntes de Fisicoquímica\"/>
    </mc:Choice>
  </mc:AlternateContent>
  <xr:revisionPtr revIDLastSave="0" documentId="13_ncr:1_{A2A9AA92-1A46-405D-8518-AF52CD9560F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tanol-agua" sheetId="5" r:id="rId1"/>
    <sheet name="Ác.sulfúrico-agua" sheetId="1" r:id="rId2"/>
    <sheet name="fosfórico-agua" sheetId="4" r:id="rId3"/>
    <sheet name="isopropíl-agua" sheetId="2" r:id="rId4"/>
    <sheet name="Glicerol-agua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5" l="1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8" i="5"/>
  <c r="E9" i="5" l="1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8" i="5"/>
  <c r="O15" i="4"/>
  <c r="J17" i="4"/>
  <c r="J12" i="4"/>
  <c r="E13" i="4"/>
  <c r="E14" i="4"/>
  <c r="F14" i="4" s="1"/>
  <c r="E15" i="4"/>
  <c r="E16" i="4"/>
  <c r="E17" i="4"/>
  <c r="F17" i="4" s="1"/>
  <c r="E18" i="4"/>
  <c r="E19" i="4"/>
  <c r="E20" i="4"/>
  <c r="E21" i="4"/>
  <c r="E12" i="4"/>
  <c r="D13" i="4"/>
  <c r="F13" i="4" s="1"/>
  <c r="D14" i="4"/>
  <c r="D15" i="4"/>
  <c r="D16" i="4"/>
  <c r="F16" i="4" s="1"/>
  <c r="D17" i="4"/>
  <c r="D18" i="4"/>
  <c r="D19" i="4"/>
  <c r="D20" i="4"/>
  <c r="D21" i="4"/>
  <c r="D12" i="4"/>
  <c r="F12" i="4"/>
  <c r="L13" i="2"/>
  <c r="L14" i="2"/>
  <c r="L15" i="2"/>
  <c r="L16" i="2"/>
  <c r="L17" i="2"/>
  <c r="L18" i="2"/>
  <c r="L19" i="2"/>
  <c r="M19" i="2" s="1"/>
  <c r="L20" i="2"/>
  <c r="L21" i="2"/>
  <c r="M21" i="2" s="1"/>
  <c r="L22" i="2"/>
  <c r="L23" i="2"/>
  <c r="L24" i="2"/>
  <c r="L25" i="2"/>
  <c r="L26" i="2"/>
  <c r="L27" i="2"/>
  <c r="L28" i="2"/>
  <c r="L29" i="2"/>
  <c r="L30" i="2"/>
  <c r="L31" i="2"/>
  <c r="L32" i="2"/>
  <c r="L12" i="2"/>
  <c r="N14" i="1"/>
  <c r="N15" i="3"/>
  <c r="N17" i="3" s="1"/>
  <c r="J18" i="3"/>
  <c r="J22" i="3"/>
  <c r="J23" i="3"/>
  <c r="J12" i="3"/>
  <c r="E32" i="3"/>
  <c r="D32" i="3"/>
  <c r="E31" i="3"/>
  <c r="D31" i="3"/>
  <c r="E30" i="3"/>
  <c r="D30" i="3"/>
  <c r="E29" i="3"/>
  <c r="D29" i="3"/>
  <c r="E28" i="3"/>
  <c r="D28" i="3"/>
  <c r="E27" i="3"/>
  <c r="D27" i="3"/>
  <c r="E26" i="3"/>
  <c r="D26" i="3"/>
  <c r="E25" i="3"/>
  <c r="F25" i="3" s="1"/>
  <c r="J25" i="3" s="1"/>
  <c r="D25" i="3"/>
  <c r="E24" i="3"/>
  <c r="D24" i="3"/>
  <c r="F24" i="3" s="1"/>
  <c r="J24" i="3" s="1"/>
  <c r="E23" i="3"/>
  <c r="D23" i="3"/>
  <c r="F23" i="3" s="1"/>
  <c r="E22" i="3"/>
  <c r="D22" i="3"/>
  <c r="F22" i="3" s="1"/>
  <c r="E21" i="3"/>
  <c r="D21" i="3"/>
  <c r="F21" i="3" s="1"/>
  <c r="J21" i="3" s="1"/>
  <c r="E20" i="3"/>
  <c r="D20" i="3"/>
  <c r="E19" i="3"/>
  <c r="D19" i="3"/>
  <c r="E18" i="3"/>
  <c r="D18" i="3"/>
  <c r="F18" i="3" s="1"/>
  <c r="E17" i="3"/>
  <c r="D17" i="3"/>
  <c r="F17" i="3" s="1"/>
  <c r="J17" i="3" s="1"/>
  <c r="E16" i="3"/>
  <c r="D16" i="3"/>
  <c r="F16" i="3" s="1"/>
  <c r="J16" i="3" s="1"/>
  <c r="E15" i="3"/>
  <c r="D15" i="3"/>
  <c r="F15" i="3" s="1"/>
  <c r="J15" i="3" s="1"/>
  <c r="E14" i="3"/>
  <c r="D14" i="3"/>
  <c r="E13" i="3"/>
  <c r="D13" i="3"/>
  <c r="F13" i="3" s="1"/>
  <c r="J13" i="3" s="1"/>
  <c r="E12" i="3"/>
  <c r="D12" i="3"/>
  <c r="F12" i="3" s="1"/>
  <c r="O17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12" i="2"/>
  <c r="D13" i="2"/>
  <c r="F13" i="2" s="1"/>
  <c r="J13" i="2" s="1"/>
  <c r="D14" i="2"/>
  <c r="D15" i="2"/>
  <c r="D16" i="2"/>
  <c r="D17" i="2"/>
  <c r="F17" i="2" s="1"/>
  <c r="J17" i="2" s="1"/>
  <c r="D18" i="2"/>
  <c r="D19" i="2"/>
  <c r="F19" i="2" s="1"/>
  <c r="J19" i="2" s="1"/>
  <c r="D20" i="2"/>
  <c r="D21" i="2"/>
  <c r="F21" i="2" s="1"/>
  <c r="D22" i="2"/>
  <c r="D23" i="2"/>
  <c r="D24" i="2"/>
  <c r="D25" i="2"/>
  <c r="D26" i="2"/>
  <c r="D27" i="2"/>
  <c r="D28" i="2"/>
  <c r="D29" i="2"/>
  <c r="D30" i="2"/>
  <c r="D31" i="2"/>
  <c r="D32" i="2"/>
  <c r="D12" i="2"/>
  <c r="N10" i="1"/>
  <c r="N16" i="1" s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11" i="1"/>
  <c r="D12" i="1"/>
  <c r="D13" i="1"/>
  <c r="D14" i="1"/>
  <c r="D15" i="1"/>
  <c r="D16" i="1"/>
  <c r="D17" i="1"/>
  <c r="D18" i="1"/>
  <c r="D19" i="1"/>
  <c r="D20" i="1"/>
  <c r="D21" i="1"/>
  <c r="D22" i="1"/>
  <c r="F22" i="1" s="1"/>
  <c r="D23" i="1"/>
  <c r="F23" i="1" s="1"/>
  <c r="D24" i="1"/>
  <c r="D25" i="1"/>
  <c r="D26" i="1"/>
  <c r="D27" i="1"/>
  <c r="D28" i="1"/>
  <c r="D29" i="1"/>
  <c r="D30" i="1"/>
  <c r="D31" i="1"/>
  <c r="D11" i="1"/>
  <c r="M20" i="2" l="1"/>
  <c r="M27" i="2"/>
  <c r="H13" i="4"/>
  <c r="J13" i="4"/>
  <c r="M24" i="2"/>
  <c r="M23" i="2"/>
  <c r="M32" i="2"/>
  <c r="M31" i="2"/>
  <c r="M17" i="2"/>
  <c r="H16" i="4"/>
  <c r="I16" i="4" s="1"/>
  <c r="J16" i="4"/>
  <c r="M28" i="2"/>
  <c r="J14" i="4"/>
  <c r="M13" i="2"/>
  <c r="F18" i="4"/>
  <c r="F11" i="1"/>
  <c r="J11" i="1" s="1"/>
  <c r="F31" i="1"/>
  <c r="J31" i="1" s="1"/>
  <c r="F27" i="3"/>
  <c r="J27" i="3" s="1"/>
  <c r="F30" i="1"/>
  <c r="F15" i="1"/>
  <c r="J15" i="1" s="1"/>
  <c r="F29" i="3"/>
  <c r="J29" i="3" s="1"/>
  <c r="F19" i="3"/>
  <c r="J19" i="3" s="1"/>
  <c r="F14" i="3"/>
  <c r="J14" i="3" s="1"/>
  <c r="F20" i="3"/>
  <c r="J20" i="3" s="1"/>
  <c r="F24" i="1"/>
  <c r="G24" i="1" s="1"/>
  <c r="H24" i="1" s="1"/>
  <c r="I24" i="1" s="1"/>
  <c r="F20" i="4"/>
  <c r="F21" i="4"/>
  <c r="G21" i="4" s="1"/>
  <c r="F19" i="4"/>
  <c r="G19" i="4" s="1"/>
  <c r="F15" i="4"/>
  <c r="G13" i="4"/>
  <c r="G16" i="4"/>
  <c r="G14" i="4"/>
  <c r="G12" i="4"/>
  <c r="G17" i="4"/>
  <c r="F14" i="1"/>
  <c r="F13" i="1"/>
  <c r="G13" i="1" s="1"/>
  <c r="H13" i="1" s="1"/>
  <c r="I13" i="1" s="1"/>
  <c r="F21" i="1"/>
  <c r="J21" i="1" s="1"/>
  <c r="F29" i="1"/>
  <c r="J29" i="1" s="1"/>
  <c r="F25" i="2"/>
  <c r="G25" i="2" s="1"/>
  <c r="H25" i="2" s="1"/>
  <c r="I25" i="2" s="1"/>
  <c r="F32" i="2"/>
  <c r="J32" i="2" s="1"/>
  <c r="F27" i="2"/>
  <c r="J27" i="2"/>
  <c r="J21" i="2"/>
  <c r="H19" i="2"/>
  <c r="I19" i="2" s="1"/>
  <c r="F29" i="2"/>
  <c r="G29" i="2" s="1"/>
  <c r="F25" i="1"/>
  <c r="J25" i="1" s="1"/>
  <c r="F17" i="1"/>
  <c r="J17" i="1" s="1"/>
  <c r="F16" i="1"/>
  <c r="G16" i="1" s="1"/>
  <c r="H16" i="1" s="1"/>
  <c r="I16" i="1" s="1"/>
  <c r="N18" i="3"/>
  <c r="N19" i="3" s="1"/>
  <c r="F26" i="3"/>
  <c r="F30" i="3"/>
  <c r="J30" i="3" s="1"/>
  <c r="F31" i="3"/>
  <c r="J31" i="3" s="1"/>
  <c r="F28" i="3"/>
  <c r="J28" i="3" s="1"/>
  <c r="F32" i="3"/>
  <c r="J32" i="3" s="1"/>
  <c r="F12" i="1"/>
  <c r="J12" i="1" s="1"/>
  <c r="F19" i="1"/>
  <c r="J19" i="1" s="1"/>
  <c r="F20" i="1"/>
  <c r="J20" i="1" s="1"/>
  <c r="F27" i="1"/>
  <c r="J27" i="1" s="1"/>
  <c r="F28" i="1"/>
  <c r="G28" i="1" s="1"/>
  <c r="H28" i="1" s="1"/>
  <c r="I28" i="1" s="1"/>
  <c r="G11" i="1"/>
  <c r="H11" i="1" s="1"/>
  <c r="I11" i="1" s="1"/>
  <c r="G34" i="1" s="1"/>
  <c r="F26" i="1"/>
  <c r="J26" i="1" s="1"/>
  <c r="F18" i="1"/>
  <c r="J22" i="1"/>
  <c r="G22" i="1"/>
  <c r="H22" i="1" s="1"/>
  <c r="I22" i="1" s="1"/>
  <c r="J14" i="1"/>
  <c r="G14" i="1"/>
  <c r="H14" i="1" s="1"/>
  <c r="I14" i="1" s="1"/>
  <c r="J30" i="1"/>
  <c r="G30" i="1"/>
  <c r="H30" i="1" s="1"/>
  <c r="I30" i="1" s="1"/>
  <c r="G23" i="1"/>
  <c r="H23" i="1" s="1"/>
  <c r="I23" i="1" s="1"/>
  <c r="G15" i="1"/>
  <c r="H15" i="1" s="1"/>
  <c r="I15" i="1" s="1"/>
  <c r="K15" i="1" s="1"/>
  <c r="J24" i="1"/>
  <c r="J23" i="1"/>
  <c r="G16" i="3"/>
  <c r="H16" i="3" s="1"/>
  <c r="I16" i="3" s="1"/>
  <c r="G25" i="3"/>
  <c r="H25" i="3" s="1"/>
  <c r="I25" i="3" s="1"/>
  <c r="G12" i="3"/>
  <c r="H12" i="3" s="1"/>
  <c r="I12" i="3" s="1"/>
  <c r="G22" i="3"/>
  <c r="H22" i="3"/>
  <c r="I22" i="3" s="1"/>
  <c r="G13" i="3"/>
  <c r="H13" i="3" s="1"/>
  <c r="I13" i="3" s="1"/>
  <c r="G17" i="3"/>
  <c r="H17" i="3" s="1"/>
  <c r="I17" i="3" s="1"/>
  <c r="G30" i="3"/>
  <c r="H30" i="3" s="1"/>
  <c r="I30" i="3" s="1"/>
  <c r="G14" i="3"/>
  <c r="H14" i="3" s="1"/>
  <c r="I14" i="3" s="1"/>
  <c r="G18" i="3"/>
  <c r="H18" i="3" s="1"/>
  <c r="I18" i="3" s="1"/>
  <c r="G27" i="3"/>
  <c r="H27" i="3" s="1"/>
  <c r="I27" i="3" s="1"/>
  <c r="G15" i="3"/>
  <c r="H15" i="3" s="1"/>
  <c r="I15" i="3" s="1"/>
  <c r="G32" i="3"/>
  <c r="H32" i="3" s="1"/>
  <c r="I32" i="3" s="1"/>
  <c r="G20" i="3"/>
  <c r="H20" i="3" s="1"/>
  <c r="I20" i="3" s="1"/>
  <c r="K20" i="3" s="1"/>
  <c r="G21" i="3"/>
  <c r="H21" i="3" s="1"/>
  <c r="I21" i="3" s="1"/>
  <c r="K21" i="3" s="1"/>
  <c r="G23" i="3"/>
  <c r="H23" i="3" s="1"/>
  <c r="I23" i="3" s="1"/>
  <c r="K23" i="3" s="1"/>
  <c r="G24" i="3"/>
  <c r="H24" i="3" s="1"/>
  <c r="I24" i="3" s="1"/>
  <c r="O18" i="2"/>
  <c r="F16" i="2"/>
  <c r="M16" i="2" s="1"/>
  <c r="F24" i="2"/>
  <c r="F20" i="2"/>
  <c r="G20" i="2" s="1"/>
  <c r="F28" i="2"/>
  <c r="F31" i="2"/>
  <c r="F15" i="2"/>
  <c r="M15" i="2" s="1"/>
  <c r="F18" i="2"/>
  <c r="M18" i="2" s="1"/>
  <c r="F26" i="2"/>
  <c r="M26" i="2" s="1"/>
  <c r="F23" i="2"/>
  <c r="F14" i="2"/>
  <c r="M14" i="2" s="1"/>
  <c r="F22" i="2"/>
  <c r="M22" i="2" s="1"/>
  <c r="F30" i="2"/>
  <c r="M30" i="2" s="1"/>
  <c r="F12" i="2"/>
  <c r="G13" i="2"/>
  <c r="H13" i="2" s="1"/>
  <c r="I13" i="2" s="1"/>
  <c r="G17" i="2"/>
  <c r="H17" i="2" s="1"/>
  <c r="I17" i="2" s="1"/>
  <c r="G21" i="2"/>
  <c r="H21" i="2" s="1"/>
  <c r="I21" i="2" s="1"/>
  <c r="G19" i="2"/>
  <c r="G27" i="2"/>
  <c r="H27" i="2" s="1"/>
  <c r="I27" i="2" s="1"/>
  <c r="G15" i="2"/>
  <c r="G32" i="2"/>
  <c r="H32" i="2" s="1"/>
  <c r="I32" i="2" s="1"/>
  <c r="G28" i="2"/>
  <c r="J16" i="1" l="1"/>
  <c r="J18" i="4"/>
  <c r="H17" i="4"/>
  <c r="I17" i="4" s="1"/>
  <c r="K17" i="4" s="1"/>
  <c r="G27" i="1"/>
  <c r="H27" i="1" s="1"/>
  <c r="I27" i="1" s="1"/>
  <c r="G17" i="1"/>
  <c r="H17" i="1" s="1"/>
  <c r="I17" i="1" s="1"/>
  <c r="G31" i="1"/>
  <c r="H31" i="1" s="1"/>
  <c r="I31" i="1" s="1"/>
  <c r="K31" i="1" s="1"/>
  <c r="G12" i="1"/>
  <c r="H12" i="1" s="1"/>
  <c r="I12" i="1" s="1"/>
  <c r="K12" i="1" s="1"/>
  <c r="H14" i="4"/>
  <c r="I14" i="4" s="1"/>
  <c r="K14" i="4" s="1"/>
  <c r="G28" i="3"/>
  <c r="H28" i="3" s="1"/>
  <c r="I28" i="3" s="1"/>
  <c r="J13" i="1"/>
  <c r="G29" i="3"/>
  <c r="H29" i="3" s="1"/>
  <c r="I29" i="3" s="1"/>
  <c r="M29" i="2"/>
  <c r="G26" i="3"/>
  <c r="H26" i="3" s="1"/>
  <c r="I26" i="3" s="1"/>
  <c r="J26" i="3"/>
  <c r="G18" i="4"/>
  <c r="M25" i="2"/>
  <c r="G15" i="4"/>
  <c r="H15" i="4"/>
  <c r="J15" i="4"/>
  <c r="H19" i="4"/>
  <c r="I19" i="4" s="1"/>
  <c r="O17" i="4" s="1"/>
  <c r="O19" i="4" s="1"/>
  <c r="O22" i="4" s="1"/>
  <c r="J19" i="4"/>
  <c r="H21" i="4"/>
  <c r="I21" i="4" s="1"/>
  <c r="J21" i="4"/>
  <c r="H20" i="4"/>
  <c r="J20" i="4"/>
  <c r="H12" i="4"/>
  <c r="I12" i="4" s="1"/>
  <c r="K12" i="4" s="1"/>
  <c r="G31" i="3"/>
  <c r="H31" i="3" s="1"/>
  <c r="I31" i="3" s="1"/>
  <c r="K31" i="3" s="1"/>
  <c r="G21" i="1"/>
  <c r="H21" i="1" s="1"/>
  <c r="I21" i="1" s="1"/>
  <c r="K21" i="1" s="1"/>
  <c r="G19" i="3"/>
  <c r="H19" i="3" s="1"/>
  <c r="I19" i="3" s="1"/>
  <c r="I13" i="4"/>
  <c r="K13" i="4" s="1"/>
  <c r="K14" i="1"/>
  <c r="G29" i="1"/>
  <c r="H29" i="1" s="1"/>
  <c r="I29" i="1" s="1"/>
  <c r="K29" i="1" s="1"/>
  <c r="G20" i="4"/>
  <c r="K16" i="4"/>
  <c r="J28" i="1"/>
  <c r="J25" i="2"/>
  <c r="K25" i="2" s="1"/>
  <c r="J24" i="2"/>
  <c r="J16" i="2"/>
  <c r="J26" i="2"/>
  <c r="O21" i="2"/>
  <c r="J23" i="2"/>
  <c r="G18" i="2"/>
  <c r="H18" i="2" s="1"/>
  <c r="I18" i="2" s="1"/>
  <c r="J18" i="2"/>
  <c r="G12" i="2"/>
  <c r="H12" i="2" s="1"/>
  <c r="J12" i="2"/>
  <c r="J31" i="2"/>
  <c r="J14" i="2"/>
  <c r="J30" i="2"/>
  <c r="J28" i="2"/>
  <c r="H28" i="2"/>
  <c r="I28" i="2" s="1"/>
  <c r="K28" i="2" s="1"/>
  <c r="H15" i="2"/>
  <c r="I15" i="2" s="1"/>
  <c r="J15" i="2"/>
  <c r="G14" i="2"/>
  <c r="H14" i="2" s="1"/>
  <c r="I14" i="2" s="1"/>
  <c r="J22" i="2"/>
  <c r="J20" i="2"/>
  <c r="H20" i="2"/>
  <c r="I20" i="2" s="1"/>
  <c r="J29" i="2"/>
  <c r="H29" i="2"/>
  <c r="I29" i="2" s="1"/>
  <c r="G25" i="1"/>
  <c r="H25" i="1" s="1"/>
  <c r="I25" i="1" s="1"/>
  <c r="K25" i="1" s="1"/>
  <c r="K28" i="1"/>
  <c r="N22" i="3"/>
  <c r="N21" i="3"/>
  <c r="N24" i="3" s="1"/>
  <c r="G26" i="1"/>
  <c r="H26" i="1" s="1"/>
  <c r="I26" i="1" s="1"/>
  <c r="K26" i="1" s="1"/>
  <c r="K24" i="1"/>
  <c r="G19" i="1"/>
  <c r="H19" i="1" s="1"/>
  <c r="I19" i="1" s="1"/>
  <c r="K19" i="1" s="1"/>
  <c r="K27" i="1"/>
  <c r="G20" i="1"/>
  <c r="H20" i="1" s="1"/>
  <c r="I20" i="1" s="1"/>
  <c r="K20" i="1" s="1"/>
  <c r="K11" i="1"/>
  <c r="K16" i="1"/>
  <c r="K30" i="1"/>
  <c r="G18" i="1"/>
  <c r="H18" i="1" s="1"/>
  <c r="I18" i="1" s="1"/>
  <c r="K23" i="1"/>
  <c r="J18" i="1"/>
  <c r="K22" i="1"/>
  <c r="K13" i="1"/>
  <c r="K17" i="1"/>
  <c r="K12" i="3"/>
  <c r="K25" i="3"/>
  <c r="K30" i="3"/>
  <c r="K19" i="3"/>
  <c r="K28" i="3"/>
  <c r="K16" i="3"/>
  <c r="K32" i="3"/>
  <c r="K13" i="3"/>
  <c r="K29" i="3"/>
  <c r="K24" i="3"/>
  <c r="K14" i="3"/>
  <c r="K26" i="3"/>
  <c r="K18" i="3"/>
  <c r="K15" i="3"/>
  <c r="K27" i="3"/>
  <c r="K17" i="3"/>
  <c r="K22" i="3"/>
  <c r="O19" i="2"/>
  <c r="G23" i="2"/>
  <c r="G26" i="2"/>
  <c r="H26" i="2" s="1"/>
  <c r="I26" i="2" s="1"/>
  <c r="G16" i="2"/>
  <c r="G31" i="2"/>
  <c r="H31" i="2" s="1"/>
  <c r="I31" i="2" s="1"/>
  <c r="G24" i="2"/>
  <c r="G30" i="2"/>
  <c r="H30" i="2" s="1"/>
  <c r="I30" i="2" s="1"/>
  <c r="G22" i="2"/>
  <c r="H22" i="2" s="1"/>
  <c r="I22" i="2" s="1"/>
  <c r="K27" i="2"/>
  <c r="K13" i="2"/>
  <c r="K21" i="2"/>
  <c r="K32" i="2"/>
  <c r="K19" i="2"/>
  <c r="K17" i="2"/>
  <c r="K29" i="2" l="1"/>
  <c r="K31" i="2"/>
  <c r="I18" i="4"/>
  <c r="K18" i="4" s="1"/>
  <c r="K14" i="2"/>
  <c r="G35" i="1"/>
  <c r="K21" i="4"/>
  <c r="I20" i="4"/>
  <c r="K20" i="4" s="1"/>
  <c r="I15" i="4"/>
  <c r="K15" i="4" s="1"/>
  <c r="H18" i="4"/>
  <c r="O18" i="4"/>
  <c r="K19" i="4"/>
  <c r="K20" i="2"/>
  <c r="K30" i="2"/>
  <c r="K15" i="2"/>
  <c r="K18" i="2"/>
  <c r="K26" i="2"/>
  <c r="H16" i="2"/>
  <c r="I16" i="2" s="1"/>
  <c r="K16" i="2" s="1"/>
  <c r="I12" i="2"/>
  <c r="O22" i="2" s="1"/>
  <c r="O24" i="2" s="1"/>
  <c r="K22" i="2"/>
  <c r="H23" i="2"/>
  <c r="I23" i="2" s="1"/>
  <c r="K23" i="2" s="1"/>
  <c r="H24" i="2"/>
  <c r="I24" i="2" s="1"/>
  <c r="K24" i="2" s="1"/>
  <c r="K18" i="1"/>
  <c r="N17" i="1"/>
  <c r="N20" i="1" s="1"/>
  <c r="O21" i="4" l="1"/>
  <c r="O23" i="4" s="1"/>
  <c r="O25" i="4" s="1"/>
  <c r="K12" i="2"/>
  <c r="N18" i="1"/>
  <c r="N21" i="1" s="1"/>
  <c r="N22" i="1" s="1"/>
  <c r="N24" i="1" l="1"/>
  <c r="N26" i="1" s="1"/>
  <c r="N28" i="1"/>
  <c r="F8" i="5"/>
  <c r="J8" i="5" l="1"/>
  <c r="G8" i="5"/>
  <c r="H8" i="5" s="1"/>
  <c r="I8" i="5" s="1"/>
  <c r="O27" i="5" s="1"/>
  <c r="F24" i="5"/>
  <c r="F10" i="5"/>
  <c r="F16" i="5"/>
  <c r="F26" i="5"/>
  <c r="F19" i="5"/>
  <c r="F18" i="5"/>
  <c r="F20" i="5"/>
  <c r="G20" i="5" s="1"/>
  <c r="F13" i="5"/>
  <c r="F11" i="5"/>
  <c r="F14" i="5"/>
  <c r="F25" i="5"/>
  <c r="F17" i="5"/>
  <c r="F28" i="5"/>
  <c r="F15" i="5"/>
  <c r="F22" i="5"/>
  <c r="F12" i="5"/>
  <c r="F21" i="5"/>
  <c r="F27" i="5"/>
  <c r="G9" i="5"/>
  <c r="F9" i="5"/>
  <c r="F23" i="5"/>
  <c r="J27" i="5" l="1"/>
  <c r="G21" i="5"/>
  <c r="H21" i="5"/>
  <c r="J21" i="5"/>
  <c r="G18" i="5"/>
  <c r="H18" i="5"/>
  <c r="J18" i="5"/>
  <c r="J12" i="5"/>
  <c r="J19" i="5"/>
  <c r="J22" i="5"/>
  <c r="H22" i="5"/>
  <c r="I22" i="5" s="1"/>
  <c r="G15" i="5"/>
  <c r="H15" i="5"/>
  <c r="J15" i="5"/>
  <c r="G26" i="5"/>
  <c r="H26" i="5"/>
  <c r="I26" i="5" s="1"/>
  <c r="J26" i="5"/>
  <c r="G28" i="5"/>
  <c r="H28" i="5" s="1"/>
  <c r="I28" i="5" s="1"/>
  <c r="O28" i="5" s="1"/>
  <c r="J28" i="5"/>
  <c r="J16" i="5"/>
  <c r="H17" i="5"/>
  <c r="I17" i="5" s="1"/>
  <c r="J17" i="5"/>
  <c r="J10" i="5"/>
  <c r="H20" i="5"/>
  <c r="I20" i="5" s="1"/>
  <c r="J20" i="5"/>
  <c r="J25" i="5"/>
  <c r="J24" i="5"/>
  <c r="G14" i="5"/>
  <c r="H14" i="5"/>
  <c r="J14" i="5"/>
  <c r="G23" i="5"/>
  <c r="J23" i="5"/>
  <c r="H23" i="5"/>
  <c r="G11" i="5"/>
  <c r="H11" i="5" s="1"/>
  <c r="I11" i="5" s="1"/>
  <c r="J11" i="5"/>
  <c r="K8" i="5"/>
  <c r="H9" i="5"/>
  <c r="J9" i="5"/>
  <c r="J13" i="5"/>
  <c r="G27" i="5"/>
  <c r="H27" i="5" s="1"/>
  <c r="I27" i="5" s="1"/>
  <c r="G19" i="5"/>
  <c r="H19" i="5" s="1"/>
  <c r="I19" i="5" s="1"/>
  <c r="G13" i="5"/>
  <c r="H13" i="5" s="1"/>
  <c r="I13" i="5" s="1"/>
  <c r="G25" i="5"/>
  <c r="H25" i="5" s="1"/>
  <c r="I25" i="5" s="1"/>
  <c r="G22" i="5"/>
  <c r="G17" i="5"/>
  <c r="G16" i="5"/>
  <c r="H16" i="5" s="1"/>
  <c r="I16" i="5" s="1"/>
  <c r="G24" i="5"/>
  <c r="G10" i="5"/>
  <c r="H10" i="5" s="1"/>
  <c r="I10" i="5" s="1"/>
  <c r="I9" i="5"/>
  <c r="G12" i="5"/>
  <c r="K20" i="5" l="1"/>
  <c r="K26" i="5"/>
  <c r="H12" i="5"/>
  <c r="I12" i="5" s="1"/>
  <c r="K12" i="5" s="1"/>
  <c r="I23" i="5"/>
  <c r="K23" i="5" s="1"/>
  <c r="K18" i="5"/>
  <c r="K13" i="5"/>
  <c r="K14" i="5"/>
  <c r="K10" i="5"/>
  <c r="K15" i="5"/>
  <c r="K17" i="5"/>
  <c r="I18" i="5"/>
  <c r="I14" i="5"/>
  <c r="I15" i="5"/>
  <c r="K9" i="5"/>
  <c r="H24" i="5"/>
  <c r="I24" i="5" s="1"/>
  <c r="K24" i="5" s="1"/>
  <c r="K16" i="5"/>
  <c r="K22" i="5"/>
  <c r="I21" i="5"/>
  <c r="K21" i="5" s="1"/>
  <c r="K25" i="5"/>
  <c r="K27" i="5"/>
  <c r="K28" i="5"/>
  <c r="K19" i="5"/>
  <c r="K11" i="5"/>
</calcChain>
</file>

<file path=xl/sharedStrings.xml><?xml version="1.0" encoding="utf-8"?>
<sst xmlns="http://schemas.openxmlformats.org/spreadsheetml/2006/main" count="176" uniqueCount="65">
  <si>
    <t>UNIVERSIDAD NACIONAL DE INGENIERÍA</t>
  </si>
  <si>
    <t>FACULTAD DE INGENEIRÍA QUÍMICA Y TEXTIL</t>
  </si>
  <si>
    <t>CURSO DE FISICOQUÍMICA II- QU-428</t>
  </si>
  <si>
    <t>VOLÚMEN MOLAR PARCIAL</t>
  </si>
  <si>
    <t>Dens. (g/mL)</t>
  </si>
  <si>
    <r>
      <t>SISTEMA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-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O, a 20 °C</t>
    </r>
  </si>
  <si>
    <t>moles</t>
  </si>
  <si>
    <r>
      <t>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</si>
  <si>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 xml:space="preserve">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</si>
  <si>
    <r>
      <t>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</si>
  <si>
    <t>Fracción molar</t>
  </si>
  <si>
    <t xml:space="preserve">Masa Molar </t>
  </si>
  <si>
    <t>(g/mol)</t>
  </si>
  <si>
    <t>Vol Molar</t>
  </si>
  <si>
    <t>mL/mol</t>
  </si>
  <si>
    <t>x</t>
  </si>
  <si>
    <t>y</t>
  </si>
  <si>
    <t>V total</t>
  </si>
  <si>
    <t>densidad=</t>
  </si>
  <si>
    <t>g/mL</t>
  </si>
  <si>
    <t>Fracc Molar=</t>
  </si>
  <si>
    <t>litros</t>
  </si>
  <si>
    <t>moles total=</t>
  </si>
  <si>
    <t>moles agua=</t>
  </si>
  <si>
    <t>moles ácido=</t>
  </si>
  <si>
    <t>Vol ácido=</t>
  </si>
  <si>
    <t>Vol agua=</t>
  </si>
  <si>
    <r>
      <t>SISTEMA Alcohol isopropílico-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O, a 20 °C</t>
    </r>
  </si>
  <si>
    <r>
      <rPr>
        <sz val="11"/>
        <color theme="1"/>
        <rFont val="Calibri"/>
        <family val="2"/>
        <scheme val="minor"/>
      </rPr>
      <t>C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O</t>
    </r>
  </si>
  <si>
    <t>Vol total=</t>
  </si>
  <si>
    <t>Fracc molar=</t>
  </si>
  <si>
    <t>Vol molar=</t>
  </si>
  <si>
    <t>mol total=</t>
  </si>
  <si>
    <t>Mol isoprop=</t>
  </si>
  <si>
    <t>mol agua=</t>
  </si>
  <si>
    <t>Vol isopropil=</t>
  </si>
  <si>
    <t xml:space="preserve">vol agua= </t>
  </si>
  <si>
    <t>Vol ideal tot=</t>
  </si>
  <si>
    <r>
      <rPr>
        <sz val="11"/>
        <color theme="1"/>
        <rFont val="Calibri"/>
        <family val="2"/>
        <scheme val="minor"/>
      </rPr>
      <t>C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3</t>
    </r>
  </si>
  <si>
    <t>Vol molar</t>
  </si>
  <si>
    <t>%error</t>
  </si>
  <si>
    <t>FACULTAD DE INGENIERÍA QUÍMICA Y TEXTIL</t>
  </si>
  <si>
    <r>
      <t>SISTEMA 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PO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-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O, a 20 °C</t>
    </r>
  </si>
  <si>
    <r>
      <t>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PO</t>
    </r>
    <r>
      <rPr>
        <vertAlign val="subscript"/>
        <sz val="11"/>
        <color theme="1"/>
        <rFont val="Calibri"/>
        <family val="2"/>
        <scheme val="minor"/>
      </rPr>
      <t>4</t>
    </r>
  </si>
  <si>
    <t>Contracción=</t>
  </si>
  <si>
    <t>Vol idealMezc</t>
  </si>
  <si>
    <t>Vol Molar Exper</t>
  </si>
  <si>
    <t>Vol Molar Calc</t>
  </si>
  <si>
    <t xml:space="preserve">Bat. sin llenar= </t>
  </si>
  <si>
    <t>baterías</t>
  </si>
  <si>
    <t>Vol Molar Exp.</t>
  </si>
  <si>
    <t>Vol Ideal</t>
  </si>
  <si>
    <t>V total(real)=</t>
  </si>
  <si>
    <t>Baterias Ideal</t>
  </si>
  <si>
    <r>
      <rPr>
        <sz val="11"/>
        <color theme="1"/>
        <rFont val="Calibri"/>
        <family val="2"/>
        <scheme val="minor"/>
      </rPr>
      <t>C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O</t>
    </r>
  </si>
  <si>
    <t>Etanol</t>
  </si>
  <si>
    <t>Vol Molar(Ec)</t>
  </si>
  <si>
    <t>Vol Molar(Datos)</t>
  </si>
  <si>
    <t>%Error</t>
  </si>
  <si>
    <t>%m(etanol)</t>
  </si>
  <si>
    <r>
      <t>SISTEMA Alcohol etílico-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O, a 25 °C</t>
    </r>
  </si>
  <si>
    <r>
      <t>SISTEMA glicerol-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O, a 20 °C</t>
    </r>
  </si>
  <si>
    <r>
      <rPr>
        <sz val="11"/>
        <color theme="1"/>
        <rFont val="Calibri"/>
        <family val="2"/>
        <scheme val="minor"/>
      </rPr>
      <t>%mC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O</t>
    </r>
  </si>
  <si>
    <r>
      <t>% mH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</si>
  <si>
    <r>
      <t>%mH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PO</t>
    </r>
    <r>
      <rPr>
        <vertAlign val="subscript"/>
        <sz val="11"/>
        <color theme="1"/>
        <rFont val="Calibri"/>
        <family val="2"/>
        <scheme val="minor"/>
      </rPr>
      <t>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</si>
</sst>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5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1" xfId="0" applyBorder="1"/>
    <xf numFmtId="165" fontId="0" fillId="0" borderId="1" xfId="0" applyNumberFormat="1" applyBorder="1"/>
    <xf numFmtId="164" fontId="0" fillId="0" borderId="1" xfId="0" applyNumberFormat="1" applyBorder="1"/>
    <xf numFmtId="2" fontId="0" fillId="0" borderId="1" xfId="0" applyNumberFormat="1" applyBorder="1"/>
    <xf numFmtId="0" fontId="0" fillId="0" borderId="1" xfId="0" applyBorder="1" applyAlignment="1">
      <alignment horizontal="center"/>
    </xf>
    <xf numFmtId="166" fontId="0" fillId="0" borderId="0" xfId="0" applyNumberFormat="1"/>
    <xf numFmtId="165" fontId="0" fillId="0" borderId="0" xfId="0" applyNumberFormat="1"/>
    <xf numFmtId="0" fontId="1" fillId="0" borderId="1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0" fillId="0" borderId="11" xfId="0" applyNumberFormat="1" applyBorder="1"/>
    <xf numFmtId="166" fontId="0" fillId="0" borderId="6" xfId="0" applyNumberFormat="1" applyBorder="1"/>
    <xf numFmtId="0" fontId="0" fillId="0" borderId="12" xfId="0" applyBorder="1"/>
    <xf numFmtId="0" fontId="3" fillId="0" borderId="1" xfId="0" applyFont="1" applyBorder="1"/>
    <xf numFmtId="2" fontId="0" fillId="0" borderId="6" xfId="0" applyNumberFormat="1" applyBorder="1"/>
    <xf numFmtId="0" fontId="3" fillId="0" borderId="5" xfId="0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20" xfId="0" applyBorder="1"/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/>
    <xf numFmtId="2" fontId="0" fillId="0" borderId="16" xfId="0" applyNumberFormat="1" applyBorder="1"/>
    <xf numFmtId="164" fontId="0" fillId="0" borderId="16" xfId="0" applyNumberFormat="1" applyBorder="1"/>
    <xf numFmtId="164" fontId="0" fillId="0" borderId="19" xfId="0" applyNumberFormat="1" applyBorder="1"/>
    <xf numFmtId="0" fontId="0" fillId="0" borderId="24" xfId="0" applyBorder="1"/>
    <xf numFmtId="164" fontId="0" fillId="0" borderId="25" xfId="0" applyNumberFormat="1" applyBorder="1"/>
    <xf numFmtId="2" fontId="0" fillId="0" borderId="21" xfId="0" applyNumberFormat="1" applyBorder="1"/>
    <xf numFmtId="164" fontId="0" fillId="0" borderId="21" xfId="0" applyNumberFormat="1" applyBorder="1"/>
    <xf numFmtId="164" fontId="0" fillId="0" borderId="22" xfId="0" applyNumberFormat="1" applyBorder="1"/>
    <xf numFmtId="0" fontId="3" fillId="0" borderId="16" xfId="0" applyFont="1" applyBorder="1"/>
    <xf numFmtId="0" fontId="3" fillId="0" borderId="19" xfId="0" applyFont="1" applyBorder="1"/>
    <xf numFmtId="0" fontId="0" fillId="2" borderId="6" xfId="0" applyFill="1" applyBorder="1"/>
    <xf numFmtId="164" fontId="0" fillId="3" borderId="11" xfId="0" applyNumberFormat="1" applyFill="1" applyBorder="1"/>
    <xf numFmtId="166" fontId="0" fillId="4" borderId="6" xfId="0" applyNumberFormat="1" applyFill="1" applyBorder="1"/>
    <xf numFmtId="0" fontId="0" fillId="5" borderId="5" xfId="0" applyFill="1" applyBorder="1"/>
    <xf numFmtId="166" fontId="0" fillId="5" borderId="6" xfId="0" applyNumberFormat="1" applyFill="1" applyBorder="1"/>
    <xf numFmtId="0" fontId="0" fillId="5" borderId="7" xfId="0" applyFill="1" applyBorder="1"/>
    <xf numFmtId="0" fontId="0" fillId="4" borderId="5" xfId="0" applyFill="1" applyBorder="1"/>
    <xf numFmtId="0" fontId="0" fillId="4" borderId="7" xfId="0" applyFill="1" applyBorder="1"/>
    <xf numFmtId="0" fontId="0" fillId="6" borderId="5" xfId="0" applyFill="1" applyBorder="1"/>
    <xf numFmtId="166" fontId="0" fillId="6" borderId="6" xfId="0" applyNumberFormat="1" applyFill="1" applyBorder="1"/>
    <xf numFmtId="0" fontId="0" fillId="6" borderId="7" xfId="0" applyFill="1" applyBorder="1"/>
    <xf numFmtId="0" fontId="0" fillId="0" borderId="1" xfId="0" applyFont="1" applyBorder="1"/>
    <xf numFmtId="0" fontId="0" fillId="0" borderId="1" xfId="0" applyFill="1" applyBorder="1"/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/>
    <xf numFmtId="0" fontId="4" fillId="0" borderId="1" xfId="0" applyFon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Vol</a:t>
            </a:r>
            <a:r>
              <a:rPr lang="es-PE" baseline="0"/>
              <a:t> Molar Etanol-agua</a:t>
            </a:r>
            <a:endParaRPr lang="es-PE"/>
          </a:p>
        </c:rich>
      </c:tx>
      <c:layout>
        <c:manualLayout>
          <c:xMode val="edge"/>
          <c:yMode val="edge"/>
          <c:x val="0.15935916068342698"/>
          <c:y val="2.96544084550678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0.29384756657483929"/>
                  <c:y val="-5.527243393016852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</c:trendlineLbl>
          </c:trendline>
          <c:xVal>
            <c:numRef>
              <c:f>'Etanol-agua'!$F$8:$F$27</c:f>
              <c:numCache>
                <c:formatCode>0.00</c:formatCode>
                <c:ptCount val="20"/>
                <c:pt idx="0" formatCode="General">
                  <c:v>0</c:v>
                </c:pt>
                <c:pt idx="1">
                  <c:v>2.0179372197309416E-2</c:v>
                </c:pt>
                <c:pt idx="2">
                  <c:v>4.1666666666666664E-2</c:v>
                </c:pt>
                <c:pt idx="3">
                  <c:v>6.4593301435406703E-2</c:v>
                </c:pt>
                <c:pt idx="4">
                  <c:v>8.9108910891089105E-2</c:v>
                </c:pt>
                <c:pt idx="5">
                  <c:v>0.11538461538461536</c:v>
                </c:pt>
                <c:pt idx="6">
                  <c:v>0.14361702127659576</c:v>
                </c:pt>
                <c:pt idx="7">
                  <c:v>0.17403314917127075</c:v>
                </c:pt>
                <c:pt idx="8">
                  <c:v>0.20689655172413793</c:v>
                </c:pt>
                <c:pt idx="9">
                  <c:v>0.24251497005988024</c:v>
                </c:pt>
                <c:pt idx="10">
                  <c:v>0.28125</c:v>
                </c:pt>
                <c:pt idx="11">
                  <c:v>0.3235294117647059</c:v>
                </c:pt>
                <c:pt idx="12">
                  <c:v>0.36986301369863012</c:v>
                </c:pt>
                <c:pt idx="13">
                  <c:v>0.42086330935251803</c:v>
                </c:pt>
                <c:pt idx="14">
                  <c:v>0.47727272727272729</c:v>
                </c:pt>
                <c:pt idx="15">
                  <c:v>0.53999999999999992</c:v>
                </c:pt>
                <c:pt idx="16">
                  <c:v>0.61016949152542366</c:v>
                </c:pt>
                <c:pt idx="17">
                  <c:v>0.68918918918918926</c:v>
                </c:pt>
                <c:pt idx="18">
                  <c:v>0.77884615384615385</c:v>
                </c:pt>
                <c:pt idx="19">
                  <c:v>0.88144329896907214</c:v>
                </c:pt>
              </c:numCache>
            </c:numRef>
          </c:xVal>
          <c:yVal>
            <c:numRef>
              <c:f>'Etanol-agua'!$I$8:$I$28</c:f>
              <c:numCache>
                <c:formatCode>0.00</c:formatCode>
                <c:ptCount val="21"/>
                <c:pt idx="0">
                  <c:v>18.039687312086588</c:v>
                </c:pt>
                <c:pt idx="1">
                  <c:v>18.815265452036751</c:v>
                </c:pt>
                <c:pt idx="2">
                  <c:v>19.54984360125119</c:v>
                </c:pt>
                <c:pt idx="3">
                  <c:v>20.352011137564354</c:v>
                </c:pt>
                <c:pt idx="4">
                  <c:v>21.207625729460361</c:v>
                </c:pt>
                <c:pt idx="5">
                  <c:v>22.140754229606038</c:v>
                </c:pt>
                <c:pt idx="6">
                  <c:v>23.163223515035952</c:v>
                </c:pt>
                <c:pt idx="7">
                  <c:v>24.294135078911932</c:v>
                </c:pt>
                <c:pt idx="8">
                  <c:v>25.441727382673079</c:v>
                </c:pt>
                <c:pt idx="9">
                  <c:v>26.922696743784368</c:v>
                </c:pt>
                <c:pt idx="10">
                  <c:v>28.440316553088589</c:v>
                </c:pt>
                <c:pt idx="11">
                  <c:v>30.115552063897351</c:v>
                </c:pt>
                <c:pt idx="12">
                  <c:v>31.968618245278066</c:v>
                </c:pt>
                <c:pt idx="13">
                  <c:v>34.027387937701938</c:v>
                </c:pt>
                <c:pt idx="14">
                  <c:v>36.325731252763923</c:v>
                </c:pt>
                <c:pt idx="15">
                  <c:v>38.905203805943849</c:v>
                </c:pt>
                <c:pt idx="16">
                  <c:v>41.812353429521941</c:v>
                </c:pt>
                <c:pt idx="17">
                  <c:v>45.121337161017784</c:v>
                </c:pt>
                <c:pt idx="18">
                  <c:v>48.927842069434995</c:v>
                </c:pt>
                <c:pt idx="19">
                  <c:v>53.357185112056534</c:v>
                </c:pt>
                <c:pt idx="20">
                  <c:v>58.591262259584767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26-4728-920E-AA1156418A85}"/>
            </c:ext>
          </c:extLst>
        </c:ser>
        <c:ser>
          <c:idx val="1"/>
          <c:order val="1"/>
          <c:tx>
            <c:v>vol ideal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'Etanol-agua'!$N$27:$N$28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'Etanol-agua'!$O$27:$O$28</c:f>
              <c:numCache>
                <c:formatCode>0.00</c:formatCode>
                <c:ptCount val="2"/>
                <c:pt idx="0">
                  <c:v>18.039687312086588</c:v>
                </c:pt>
                <c:pt idx="1">
                  <c:v>58.591262259584767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26-4728-920E-AA1156418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7285999"/>
        <c:axId val="1377360127"/>
      </c:scatterChart>
      <c:valAx>
        <c:axId val="1377285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Fracción molar de etanol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77360127"/>
        <c:crosses val="autoZero"/>
        <c:crossBetween val="midCat"/>
      </c:valAx>
      <c:valAx>
        <c:axId val="137736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Volumen  molar de mezcla (mL/mol)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77285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Volumen molar de ácido sulfúrico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0.12977116310153222"/>
          <c:y val="0.11405198837149461"/>
          <c:w val="0.80624882105342577"/>
          <c:h val="0.75295338424694169"/>
        </c:manualLayout>
      </c:layout>
      <c:scatterChart>
        <c:scatterStyle val="smoothMarker"/>
        <c:varyColors val="0"/>
        <c:ser>
          <c:idx val="0"/>
          <c:order val="0"/>
          <c:tx>
            <c:v>Vol molar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5.0736927114879871E-2"/>
                  <c:y val="4.454378223241930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</c:trendlineLbl>
          </c:trendline>
          <c:xVal>
            <c:numRef>
              <c:f>'Ác.sulfúrico-agua'!$F$11:$F$31</c:f>
              <c:numCache>
                <c:formatCode>0.00</c:formatCode>
                <c:ptCount val="21"/>
                <c:pt idx="0" formatCode="General">
                  <c:v>0</c:v>
                </c:pt>
                <c:pt idx="1">
                  <c:v>9.5744680851063829E-3</c:v>
                </c:pt>
                <c:pt idx="2">
                  <c:v>0.02</c:v>
                </c:pt>
                <c:pt idx="3">
                  <c:v>3.1395348837209305E-2</c:v>
                </c:pt>
                <c:pt idx="4">
                  <c:v>4.3902439024390248E-2</c:v>
                </c:pt>
                <c:pt idx="5">
                  <c:v>5.7692307692307696E-2</c:v>
                </c:pt>
                <c:pt idx="6">
                  <c:v>7.2972972972972977E-2</c:v>
                </c:pt>
                <c:pt idx="7">
                  <c:v>0.09</c:v>
                </c:pt>
                <c:pt idx="8">
                  <c:v>0.10909090909090909</c:v>
                </c:pt>
                <c:pt idx="9">
                  <c:v>0.13064516129032258</c:v>
                </c:pt>
                <c:pt idx="10">
                  <c:v>0.15517241379310345</c:v>
                </c:pt>
                <c:pt idx="11">
                  <c:v>0.18333333333333332</c:v>
                </c:pt>
                <c:pt idx="12">
                  <c:v>0.21599999999999997</c:v>
                </c:pt>
                <c:pt idx="13">
                  <c:v>0.2543478260869565</c:v>
                </c:pt>
                <c:pt idx="14">
                  <c:v>0.3</c:v>
                </c:pt>
                <c:pt idx="15">
                  <c:v>0.35526315789473684</c:v>
                </c:pt>
                <c:pt idx="16">
                  <c:v>0.42352941176470588</c:v>
                </c:pt>
                <c:pt idx="17">
                  <c:v>0.5099999999999999</c:v>
                </c:pt>
                <c:pt idx="18">
                  <c:v>0.62307692307692297</c:v>
                </c:pt>
                <c:pt idx="19">
                  <c:v>0.77727272727272723</c:v>
                </c:pt>
                <c:pt idx="20" formatCode="General">
                  <c:v>1</c:v>
                </c:pt>
              </c:numCache>
            </c:numRef>
          </c:xVal>
          <c:yVal>
            <c:numRef>
              <c:f>'Ác.sulfúrico-agua'!$I$11:$I$31</c:f>
              <c:numCache>
                <c:formatCode>0.000</c:formatCode>
                <c:ptCount val="21"/>
                <c:pt idx="0">
                  <c:v>18.032458425165299</c:v>
                </c:pt>
                <c:pt idx="1">
                  <c:v>18.18935489658671</c:v>
                </c:pt>
                <c:pt idx="2">
                  <c:v>18.384766907419568</c:v>
                </c:pt>
                <c:pt idx="3">
                  <c:v>18.613092474570546</c:v>
                </c:pt>
                <c:pt idx="4">
                  <c:v>18.880283589565757</c:v>
                </c:pt>
                <c:pt idx="5">
                  <c:v>19.193231448175009</c:v>
                </c:pt>
                <c:pt idx="6">
                  <c:v>19.563264536592399</c:v>
                </c:pt>
                <c:pt idx="7">
                  <c:v>20.001587427573615</c:v>
                </c:pt>
                <c:pt idx="8">
                  <c:v>20.515253858821559</c:v>
                </c:pt>
                <c:pt idx="9">
                  <c:v>21.112802688650795</c:v>
                </c:pt>
                <c:pt idx="10">
                  <c:v>21.800439469176602</c:v>
                </c:pt>
                <c:pt idx="11">
                  <c:v>22.60199727853502</c:v>
                </c:pt>
                <c:pt idx="12">
                  <c:v>23.546686244410328</c:v>
                </c:pt>
                <c:pt idx="13">
                  <c:v>24.687971471677407</c:v>
                </c:pt>
                <c:pt idx="14">
                  <c:v>26.078857497671528</c:v>
                </c:pt>
                <c:pt idx="15">
                  <c:v>27.810359832002721</c:v>
                </c:pt>
                <c:pt idx="16">
                  <c:v>30.038416478217037</c:v>
                </c:pt>
                <c:pt idx="17">
                  <c:v>33.059709884178559</c:v>
                </c:pt>
                <c:pt idx="18">
                  <c:v>37.393162393162392</c:v>
                </c:pt>
                <c:pt idx="19">
                  <c:v>43.726791831716305</c:v>
                </c:pt>
                <c:pt idx="20">
                  <c:v>53.537284894837477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F0-44D8-916E-61B1F6CC966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'Ác.sulfúrico-agua'!$F$34:$F$35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'Ác.sulfúrico-agua'!$G$34:$G$35</c:f>
              <c:numCache>
                <c:formatCode>0.000</c:formatCode>
                <c:ptCount val="2"/>
                <c:pt idx="0">
                  <c:v>18.032458425165299</c:v>
                </c:pt>
                <c:pt idx="1">
                  <c:v>53.537284894837477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3F0-44D8-916E-61B1F6CC9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2411744"/>
        <c:axId val="1212412160"/>
      </c:scatterChart>
      <c:valAx>
        <c:axId val="1212411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Fracción molar de ácido</a:t>
                </a:r>
                <a:r>
                  <a:rPr lang="es-PE" baseline="0"/>
                  <a:t> sulfúrico</a:t>
                </a:r>
                <a:endParaRPr lang="es-P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12412160"/>
        <c:crosses val="autoZero"/>
        <c:crossBetween val="midCat"/>
      </c:valAx>
      <c:valAx>
        <c:axId val="121241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Volumen molar de mezcla (mL/mol)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12411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volumen molar vs fracción molar</a:t>
            </a:r>
          </a:p>
          <a:p>
            <a:pPr>
              <a:defRPr/>
            </a:pPr>
            <a:r>
              <a:rPr lang="es-PE"/>
              <a:t> ácido fosfórico-agua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volumen molar vs fracción molar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</c:trendlineLbl>
          </c:trendline>
          <c:xVal>
            <c:numRef>
              <c:f>'fosfórico-agua'!$F$12:$F$21</c:f>
              <c:numCache>
                <c:formatCode>0.0000</c:formatCode>
                <c:ptCount val="10"/>
                <c:pt idx="0">
                  <c:v>0</c:v>
                </c:pt>
                <c:pt idx="1">
                  <c:v>3.734439834024896E-3</c:v>
                </c:pt>
                <c:pt idx="2">
                  <c:v>1.1587982832618025E-2</c:v>
                </c:pt>
                <c:pt idx="3">
                  <c:v>2.9032258064516127E-2</c:v>
                </c:pt>
                <c:pt idx="4">
                  <c:v>4.3902439024390248E-2</c:v>
                </c:pt>
                <c:pt idx="5">
                  <c:v>6.0621761658031098E-2</c:v>
                </c:pt>
                <c:pt idx="6">
                  <c:v>0.09</c:v>
                </c:pt>
                <c:pt idx="7">
                  <c:v>0.15517241379310345</c:v>
                </c:pt>
                <c:pt idx="8">
                  <c:v>0.35526315789473684</c:v>
                </c:pt>
                <c:pt idx="9">
                  <c:v>1</c:v>
                </c:pt>
              </c:numCache>
            </c:numRef>
          </c:xVal>
          <c:yVal>
            <c:numRef>
              <c:f>'fosfórico-agua'!$I$12:$I$21</c:f>
              <c:numCache>
                <c:formatCode>0.000</c:formatCode>
                <c:ptCount val="10"/>
                <c:pt idx="0">
                  <c:v>18.032458425165299</c:v>
                </c:pt>
                <c:pt idx="1">
                  <c:v>18.131941326518024</c:v>
                </c:pt>
                <c:pt idx="2">
                  <c:v>18.359723180337031</c:v>
                </c:pt>
                <c:pt idx="3">
                  <c:v>18.880138094724348</c:v>
                </c:pt>
                <c:pt idx="4">
                  <c:v>19.321173991333954</c:v>
                </c:pt>
                <c:pt idx="5">
                  <c:v>19.81936068405108</c:v>
                </c:pt>
                <c:pt idx="6">
                  <c:v>20.723684210526315</c:v>
                </c:pt>
                <c:pt idx="7">
                  <c:v>22.781867493219686</c:v>
                </c:pt>
                <c:pt idx="8">
                  <c:v>29.399020032665579</c:v>
                </c:pt>
                <c:pt idx="9">
                  <c:v>52.406417112299465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D3-4FC3-8E4F-992F74855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1624640"/>
        <c:axId val="801626720"/>
      </c:scatterChart>
      <c:valAx>
        <c:axId val="801624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Fracción</a:t>
                </a:r>
                <a:r>
                  <a:rPr lang="es-PE" baseline="0"/>
                  <a:t> molar de ácido fosfórico</a:t>
                </a:r>
                <a:endParaRPr lang="es-P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01626720"/>
        <c:crosses val="autoZero"/>
        <c:crossBetween val="midCat"/>
      </c:valAx>
      <c:valAx>
        <c:axId val="80162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Volumen molar de</a:t>
                </a:r>
                <a:r>
                  <a:rPr lang="es-PE" baseline="0"/>
                  <a:t> mezcla (mL/mol)</a:t>
                </a:r>
                <a:endParaRPr lang="es-P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01624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volumen</a:t>
            </a:r>
            <a:r>
              <a:rPr lang="es-PE" baseline="0"/>
              <a:t> molar de soluciones de </a:t>
            </a:r>
          </a:p>
          <a:p>
            <a:pPr>
              <a:defRPr/>
            </a:pPr>
            <a:r>
              <a:rPr lang="es-PE" baseline="0"/>
              <a:t>Alcohol Isopropílico-H</a:t>
            </a:r>
            <a:r>
              <a:rPr lang="es-PE" baseline="-25000"/>
              <a:t>2</a:t>
            </a:r>
            <a:r>
              <a:rPr lang="es-PE" baseline="0"/>
              <a:t>O</a:t>
            </a:r>
            <a:endParaRPr lang="es-P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</c:trendlineLbl>
          </c:trendline>
          <c:xVal>
            <c:numRef>
              <c:f>'isopropíl-agua'!$F$12:$F$32</c:f>
              <c:numCache>
                <c:formatCode>0.00</c:formatCode>
                <c:ptCount val="21"/>
                <c:pt idx="0" formatCode="General">
                  <c:v>0</c:v>
                </c:pt>
                <c:pt idx="1">
                  <c:v>1.5544041450777202E-2</c:v>
                </c:pt>
                <c:pt idx="2">
                  <c:v>3.2258064516129031E-2</c:v>
                </c:pt>
                <c:pt idx="3">
                  <c:v>5.0279329608938543E-2</c:v>
                </c:pt>
                <c:pt idx="4">
                  <c:v>6.9767441860465115E-2</c:v>
                </c:pt>
                <c:pt idx="5">
                  <c:v>9.0909090909090898E-2</c:v>
                </c:pt>
                <c:pt idx="6">
                  <c:v>0.11392405063291139</c:v>
                </c:pt>
                <c:pt idx="7">
                  <c:v>0.13907284768211919</c:v>
                </c:pt>
                <c:pt idx="8">
                  <c:v>0.16666666666666666</c:v>
                </c:pt>
                <c:pt idx="9">
                  <c:v>0.19708029197080293</c:v>
                </c:pt>
                <c:pt idx="10">
                  <c:v>0.23076923076923078</c:v>
                </c:pt>
                <c:pt idx="11">
                  <c:v>0.26829268292682928</c:v>
                </c:pt>
                <c:pt idx="12">
                  <c:v>0.31034482758620691</c:v>
                </c:pt>
                <c:pt idx="13">
                  <c:v>0.35779816513761464</c:v>
                </c:pt>
                <c:pt idx="14">
                  <c:v>0.41176470588235292</c:v>
                </c:pt>
                <c:pt idx="15">
                  <c:v>0.47368421052631582</c:v>
                </c:pt>
                <c:pt idx="16">
                  <c:v>0.54545454545454541</c:v>
                </c:pt>
                <c:pt idx="17">
                  <c:v>0.62962962962962965</c:v>
                </c:pt>
                <c:pt idx="18">
                  <c:v>0.72972972972972983</c:v>
                </c:pt>
                <c:pt idx="19">
                  <c:v>0.85074626865671632</c:v>
                </c:pt>
                <c:pt idx="20" formatCode="General">
                  <c:v>1</c:v>
                </c:pt>
              </c:numCache>
            </c:numRef>
          </c:xVal>
          <c:yVal>
            <c:numRef>
              <c:f>'isopropíl-agua'!$I$12:$I$32</c:f>
              <c:numCache>
                <c:formatCode>0.00</c:formatCode>
                <c:ptCount val="21"/>
                <c:pt idx="0">
                  <c:v>18.032458425165299</c:v>
                </c:pt>
                <c:pt idx="1">
                  <c:v>18.854593895615729</c:v>
                </c:pt>
                <c:pt idx="2">
                  <c:v>19.709611720649107</c:v>
                </c:pt>
                <c:pt idx="3">
                  <c:v>20.595731534639441</c:v>
                </c:pt>
                <c:pt idx="4">
                  <c:v>21.570887929650144</c:v>
                </c:pt>
                <c:pt idx="5">
                  <c:v>22.691816763579631</c:v>
                </c:pt>
                <c:pt idx="6">
                  <c:v>23.933624082544412</c:v>
                </c:pt>
                <c:pt idx="7">
                  <c:v>25.311667483436675</c:v>
                </c:pt>
                <c:pt idx="8">
                  <c:v>26.85284640171858</c:v>
                </c:pt>
                <c:pt idx="9">
                  <c:v>28.500403755719873</c:v>
                </c:pt>
                <c:pt idx="10">
                  <c:v>30.535128120308404</c:v>
                </c:pt>
                <c:pt idx="11">
                  <c:v>32.716624952969852</c:v>
                </c:pt>
                <c:pt idx="12">
                  <c:v>35.166552700986621</c:v>
                </c:pt>
                <c:pt idx="13">
                  <c:v>37.953944996299491</c:v>
                </c:pt>
                <c:pt idx="14">
                  <c:v>41.116166876815953</c:v>
                </c:pt>
                <c:pt idx="15">
                  <c:v>44.771664510993922</c:v>
                </c:pt>
                <c:pt idx="16">
                  <c:v>49.039907587018583</c:v>
                </c:pt>
                <c:pt idx="17">
                  <c:v>54.075245704397673</c:v>
                </c:pt>
                <c:pt idx="18">
                  <c:v>60.08973400277749</c:v>
                </c:pt>
                <c:pt idx="19">
                  <c:v>67.391625841693326</c:v>
                </c:pt>
                <c:pt idx="20">
                  <c:v>76.39419404125286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8D-4BEF-979B-E31BC3D09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5464511"/>
        <c:axId val="1535464927"/>
      </c:scatterChart>
      <c:valAx>
        <c:axId val="153546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Fracción molar de alcohol isopropílico</a:t>
                </a:r>
              </a:p>
            </c:rich>
          </c:tx>
          <c:layout>
            <c:manualLayout>
              <c:xMode val="edge"/>
              <c:yMode val="edge"/>
              <c:x val="0.30778810781182475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535464927"/>
        <c:crosses val="autoZero"/>
        <c:crossBetween val="midCat"/>
      </c:valAx>
      <c:valAx>
        <c:axId val="153546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Volumen molar de mezcla (mL/mol)</a:t>
                </a:r>
              </a:p>
            </c:rich>
          </c:tx>
          <c:layout>
            <c:manualLayout>
              <c:xMode val="edge"/>
              <c:yMode val="edge"/>
              <c:x val="3.3467202141900937E-2"/>
              <c:y val="0.204537037037037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535464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Volumen molar</a:t>
            </a:r>
          </a:p>
          <a:p>
            <a:pPr>
              <a:defRPr/>
            </a:pPr>
            <a:r>
              <a:rPr lang="es-PE"/>
              <a:t>Glicerol</a:t>
            </a:r>
            <a:r>
              <a:rPr lang="es-PE" baseline="0"/>
              <a:t>-agua</a:t>
            </a:r>
            <a:endParaRPr lang="es-P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21475135109129689"/>
                  <c:y val="5.51388888888888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</c:trendlineLbl>
          </c:trendline>
          <c:xVal>
            <c:numRef>
              <c:f>'Glicerol-agua'!$F$12:$F$32</c:f>
              <c:numCache>
                <c:formatCode>0.00</c:formatCode>
                <c:ptCount val="21"/>
                <c:pt idx="0" formatCode="General">
                  <c:v>0</c:v>
                </c:pt>
                <c:pt idx="1">
                  <c:v>1.0192525481313703E-2</c:v>
                </c:pt>
                <c:pt idx="2">
                  <c:v>2.1276595744680851E-2</c:v>
                </c:pt>
                <c:pt idx="3">
                  <c:v>3.3374536464771322E-2</c:v>
                </c:pt>
                <c:pt idx="4">
                  <c:v>4.6632124352331605E-2</c:v>
                </c:pt>
                <c:pt idx="5">
                  <c:v>6.1224489795918366E-2</c:v>
                </c:pt>
                <c:pt idx="6">
                  <c:v>7.7363896848137548E-2</c:v>
                </c:pt>
                <c:pt idx="7">
                  <c:v>9.5310136157337369E-2</c:v>
                </c:pt>
                <c:pt idx="8">
                  <c:v>0.11538461538461538</c:v>
                </c:pt>
                <c:pt idx="9">
                  <c:v>0.13798977853492334</c:v>
                </c:pt>
                <c:pt idx="10">
                  <c:v>0.16363636363636364</c:v>
                </c:pt>
                <c:pt idx="11">
                  <c:v>0.19298245614035089</c:v>
                </c:pt>
                <c:pt idx="12">
                  <c:v>0.22689075630252098</c:v>
                </c:pt>
                <c:pt idx="13">
                  <c:v>0.26651480637813213</c:v>
                </c:pt>
                <c:pt idx="14">
                  <c:v>0.31343283582089554</c:v>
                </c:pt>
                <c:pt idx="15">
                  <c:v>0.36986301369863017</c:v>
                </c:pt>
                <c:pt idx="16">
                  <c:v>0.43902439024390244</c:v>
                </c:pt>
                <c:pt idx="17">
                  <c:v>0.52577319587628868</c:v>
                </c:pt>
                <c:pt idx="18">
                  <c:v>0.63779527559055116</c:v>
                </c:pt>
                <c:pt idx="19">
                  <c:v>0.78801843317972353</c:v>
                </c:pt>
                <c:pt idx="20" formatCode="General">
                  <c:v>1</c:v>
                </c:pt>
              </c:numCache>
            </c:numRef>
          </c:xVal>
          <c:yVal>
            <c:numRef>
              <c:f>'Glicerol-agua'!$I$12:$I$32</c:f>
              <c:numCache>
                <c:formatCode>0.00</c:formatCode>
                <c:ptCount val="21"/>
                <c:pt idx="0">
                  <c:v>18.032458425165299</c:v>
                </c:pt>
                <c:pt idx="1">
                  <c:v>18.565803975268238</c:v>
                </c:pt>
                <c:pt idx="2">
                  <c:v>19.151225990711655</c:v>
                </c:pt>
                <c:pt idx="3">
                  <c:v>19.787062057412353</c:v>
                </c:pt>
                <c:pt idx="4">
                  <c:v>20.295938312113297</c:v>
                </c:pt>
                <c:pt idx="5">
                  <c:v>21.259305760424567</c:v>
                </c:pt>
                <c:pt idx="6">
                  <c:v>22.117020944124338</c:v>
                </c:pt>
                <c:pt idx="7">
                  <c:v>23.069014802617829</c:v>
                </c:pt>
                <c:pt idx="8">
                  <c:v>24.141236731066627</c:v>
                </c:pt>
                <c:pt idx="9">
                  <c:v>25.351584841466867</c:v>
                </c:pt>
                <c:pt idx="10">
                  <c:v>26.732745191415169</c:v>
                </c:pt>
                <c:pt idx="11">
                  <c:v>28.315163154586173</c:v>
                </c:pt>
                <c:pt idx="12">
                  <c:v>30.152466602865793</c:v>
                </c:pt>
                <c:pt idx="13">
                  <c:v>32.310146185851629</c:v>
                </c:pt>
                <c:pt idx="14">
                  <c:v>34.957594917469685</c:v>
                </c:pt>
                <c:pt idx="15">
                  <c:v>37.971178820520265</c:v>
                </c:pt>
                <c:pt idx="16">
                  <c:v>41.777248554446651</c:v>
                </c:pt>
                <c:pt idx="17">
                  <c:v>46.57653993685166</c:v>
                </c:pt>
                <c:pt idx="18">
                  <c:v>52.786697752166447</c:v>
                </c:pt>
                <c:pt idx="19">
                  <c:v>61.136282039094361</c:v>
                </c:pt>
                <c:pt idx="20">
                  <c:v>72.953341580232816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651-44AF-B6C8-B8129B1D5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4835152"/>
        <c:axId val="634835984"/>
      </c:scatterChart>
      <c:valAx>
        <c:axId val="634835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Fracción molar de glicerol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34835984"/>
        <c:crosses val="autoZero"/>
        <c:crossBetween val="midCat"/>
      </c:valAx>
      <c:valAx>
        <c:axId val="63483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Volumen molar de mezcla (mL/mol)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34835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281940</xdr:colOff>
      <xdr:row>11</xdr:row>
      <xdr:rowOff>144780</xdr:rowOff>
    </xdr:from>
    <xdr:to>
      <xdr:col>14</xdr:col>
      <xdr:colOff>670560</xdr:colOff>
      <xdr:row>30</xdr:row>
      <xdr:rowOff>91440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60960</xdr:colOff>
      <xdr:row>28</xdr:row>
      <xdr:rowOff>121920</xdr:rowOff>
    </xdr:from>
    <xdr:to>
      <xdr:col>18</xdr:col>
      <xdr:colOff>60960</xdr:colOff>
      <xdr:row>51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CCC2BC9-4E58-A6E8-6501-8DB1612A36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15</xdr:col>
      <xdr:colOff>274320</xdr:colOff>
      <xdr:row>5</xdr:row>
      <xdr:rowOff>121920</xdr:rowOff>
    </xdr:from>
    <xdr:ext cx="3359253" cy="27629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13DDF7D9-5B73-4997-9424-099F4C21EBC1}"/>
                </a:ext>
              </a:extLst>
            </xdr:cNvPr>
            <xdr:cNvSpPr txBox="1"/>
          </xdr:nvSpPr>
          <xdr:spPr>
            <a:xfrm>
              <a:off x="9448800" y="1036320"/>
              <a:ext cx="3359253" cy="27629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6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s-ES" sz="16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s-ES" sz="16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</m:acc>
                      </m:e>
                      <m:sub>
                        <m:r>
                          <a:rPr lang="es-ES" sz="1600" b="0" i="1">
                            <a:latin typeface="Cambria Math" panose="02040503050406030204" pitchFamily="18" charset="0"/>
                          </a:rPr>
                          <m:t>𝑚𝑒𝑧𝑐𝑙𝑎</m:t>
                        </m:r>
                      </m:sub>
                    </m:sSub>
                    <m:r>
                      <a:rPr lang="es-ES" sz="1600" b="0" i="1">
                        <a:latin typeface="Cambria Math" panose="02040503050406030204" pitchFamily="18" charset="0"/>
                      </a:rPr>
                      <m:t>= </m:t>
                    </m:r>
                    <m:sSub>
                      <m:sSubPr>
                        <m:ctrlPr>
                          <a:rPr lang="es-ES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6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ES" sz="1600" b="0" i="1">
                            <a:latin typeface="Cambria Math" panose="02040503050406030204" pitchFamily="18" charset="0"/>
                          </a:rPr>
                          <m:t>𝐻</m:t>
                        </m:r>
                        <m:r>
                          <a:rPr lang="es-ES" sz="1600" b="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s-ES" sz="1600" b="0" i="1">
                            <a:latin typeface="Cambria Math" panose="02040503050406030204" pitchFamily="18" charset="0"/>
                          </a:rPr>
                          <m:t>𝑆𝑂</m:t>
                        </m:r>
                        <m:r>
                          <a:rPr lang="es-ES" sz="1600" b="0" i="1">
                            <a:latin typeface="Cambria Math" panose="02040503050406030204" pitchFamily="18" charset="0"/>
                          </a:rPr>
                          <m:t>4.</m:t>
                        </m:r>
                      </m:sub>
                    </m:sSub>
                    <m:sSub>
                      <m:sSubPr>
                        <m:ctrlPr>
                          <a:rPr lang="es-E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acc>
                          <m:accPr>
                            <m:chr m:val="̿"/>
                            <m:ctrlPr>
                              <a:rPr lang="es-ES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es-ES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𝑉</m:t>
                            </m:r>
                          </m:e>
                        </m:acc>
                      </m:e>
                      <m:sub>
                        <m:r>
                          <a:rPr lang="es-E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𝐻</m:t>
                        </m:r>
                        <m:r>
                          <a:rPr lang="es-E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  <m:r>
                          <a:rPr lang="es-E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𝑆𝑂</m:t>
                        </m:r>
                        <m:r>
                          <a:rPr lang="es-E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</m:t>
                        </m:r>
                      </m:sub>
                    </m:sSub>
                    <m:r>
                      <a:rPr lang="es-ES" sz="1600" b="0" i="1">
                        <a:latin typeface="Cambria Math" panose="02040503050406030204" pitchFamily="18" charset="0"/>
                      </a:rPr>
                      <m:t>+ </m:t>
                    </m:r>
                    <m:sSub>
                      <m:sSubPr>
                        <m:ctrlPr>
                          <a:rPr lang="es-ES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6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ES" sz="1600" b="0" i="1">
                            <a:latin typeface="Cambria Math" panose="02040503050406030204" pitchFamily="18" charset="0"/>
                          </a:rPr>
                          <m:t>𝐻</m:t>
                        </m:r>
                        <m:r>
                          <a:rPr lang="es-ES" sz="1600" b="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s-ES" sz="1600" b="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sSub>
                      <m:sSubPr>
                        <m:ctrlPr>
                          <a:rPr lang="es-E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acc>
                          <m:accPr>
                            <m:chr m:val="̿"/>
                            <m:ctrlPr>
                              <a:rPr lang="es-ES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es-ES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𝑉</m:t>
                            </m:r>
                          </m:e>
                        </m:acc>
                      </m:e>
                      <m:sub>
                        <m:r>
                          <a:rPr lang="es-E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𝐻</m:t>
                        </m:r>
                        <m:r>
                          <a:rPr lang="es-E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  <m:r>
                          <a:rPr lang="es-E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𝑂</m:t>
                        </m:r>
                      </m:sub>
                    </m:sSub>
                  </m:oMath>
                </m:oMathPara>
              </a14:m>
              <a:endParaRPr lang="es-ES" sz="16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13DDF7D9-5B73-4997-9424-099F4C21EBC1}"/>
                </a:ext>
              </a:extLst>
            </xdr:cNvPr>
            <xdr:cNvSpPr txBox="1"/>
          </xdr:nvSpPr>
          <xdr:spPr>
            <a:xfrm>
              <a:off x="9448800" y="1036320"/>
              <a:ext cx="3359253" cy="27629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ES" sz="1600" b="0" i="0">
                  <a:latin typeface="Cambria Math" panose="02040503050406030204" pitchFamily="18" charset="0"/>
                </a:rPr>
                <a:t>𝑉 ̅_𝑚𝑒𝑧𝑐𝑙𝑎= 𝑋_(𝐻2𝑆𝑂4.)</a:t>
              </a:r>
              <a:r>
                <a:rPr lang="es-E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𝑉 ̿_𝐻2𝑆𝑂4</a:t>
              </a:r>
              <a:r>
                <a:rPr lang="es-ES" sz="1600" b="0" i="0">
                  <a:latin typeface="Cambria Math" panose="02040503050406030204" pitchFamily="18" charset="0"/>
                </a:rPr>
                <a:t>+ 𝑋_𝐻2𝑂</a:t>
              </a:r>
              <a:r>
                <a:rPr lang="es-E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𝑉 ̿_𝐻2𝑂</a:t>
              </a:r>
              <a:endParaRPr lang="es-ES" sz="1600"/>
            </a:p>
          </xdr:txBody>
        </xdr:sp>
      </mc:Fallback>
    </mc:AlternateContent>
    <xdr:clientData/>
  </xdr:oneCellAnchor>
  <xdr:oneCellAnchor>
    <xdr:from>
      <xdr:col>15</xdr:col>
      <xdr:colOff>464820</xdr:colOff>
      <xdr:row>8</xdr:row>
      <xdr:rowOff>38100</xdr:rowOff>
    </xdr:from>
    <xdr:ext cx="2189125" cy="5418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9A994189-C775-4BE2-9074-0E2FD5F5F1FA}"/>
                </a:ext>
              </a:extLst>
            </xdr:cNvPr>
            <xdr:cNvSpPr txBox="1"/>
          </xdr:nvSpPr>
          <xdr:spPr>
            <a:xfrm>
              <a:off x="9639300" y="1554480"/>
              <a:ext cx="2189125" cy="5418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["/>
                            <m:endChr m:val="]"/>
                            <m:ctrlPr>
                              <a:rPr lang="es-ES" sz="14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s-ES" sz="140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s-ES" sz="14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𝜕</m:t>
                                </m:r>
                                <m:sSub>
                                  <m:sSubPr>
                                    <m:ctrlPr>
                                      <a:rPr lang="es-ES" sz="14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acc>
                                      <m:accPr>
                                        <m:chr m:val="̅"/>
                                        <m:ctrlPr>
                                          <a:rPr lang="es-ES" sz="140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accPr>
                                      <m:e>
                                        <m:r>
                                          <a:rPr lang="es-ES" sz="14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𝑉</m:t>
                                        </m:r>
                                      </m:e>
                                    </m:acc>
                                  </m:e>
                                  <m:sub>
                                    <m:r>
                                      <a:rPr lang="es-ES" sz="1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𝑚𝑒𝑧𝑐𝑙𝑎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a:rPr lang="es-ES" sz="14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𝜕</m:t>
                                </m:r>
                                <m:sSub>
                                  <m:sSubPr>
                                    <m:ctrlPr>
                                      <a:rPr lang="es-ES" sz="14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PE" sz="1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  <m:sub>
                                    <m:r>
                                      <a:rPr lang="es-ES" sz="1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𝐻</m:t>
                                    </m:r>
                                    <m:r>
                                      <a:rPr lang="es-ES" sz="1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2</m:t>
                                    </m:r>
                                    <m:r>
                                      <a:rPr lang="es-ES" sz="1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𝑆𝑂</m:t>
                                    </m:r>
                                    <m:r>
                                      <a:rPr lang="es-ES" sz="1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4</m:t>
                                    </m:r>
                                  </m:sub>
                                </m:sSub>
                              </m:den>
                            </m:f>
                          </m:e>
                        </m:d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𝑃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, 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, </m:t>
                        </m:r>
                        <m:sSub>
                          <m:sSubPr>
                            <m:ctrlPr>
                              <a:rPr lang="es-E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PE" sz="14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s-ES" sz="1400" b="0" i="1">
                                <a:latin typeface="Cambria Math" panose="02040503050406030204" pitchFamily="18" charset="0"/>
                              </a:rPr>
                              <m:t>𝐻</m:t>
                            </m:r>
                            <m:r>
                              <a:rPr lang="es-ES" sz="14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s-ES" sz="1400" b="0" i="1">
                                <a:latin typeface="Cambria Math" panose="02040503050406030204" pitchFamily="18" charset="0"/>
                              </a:rPr>
                              <m:t>𝑂</m:t>
                            </m:r>
                          </m:sub>
                        </m:sSub>
                      </m:sub>
                    </m:sSub>
                    <m:r>
                      <a:rPr lang="es-ES" sz="1400" b="0" i="1">
                        <a:latin typeface="Cambria Math" panose="02040503050406030204" pitchFamily="18" charset="0"/>
                      </a:rPr>
                      <m:t>= </m:t>
                    </m:r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̿"/>
                            <m:ctrlPr>
                              <a:rPr lang="es-ES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s-ES" sz="14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</m:acc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𝐻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𝑆𝑂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</m:oMath>
                </m:oMathPara>
              </a14:m>
              <a:endParaRPr lang="es-ES" sz="1400"/>
            </a:p>
          </xdr:txBody>
        </xdr:sp>
      </mc:Choice>
      <mc:Fallback xmlns="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9A994189-C775-4BE2-9074-0E2FD5F5F1FA}"/>
                </a:ext>
              </a:extLst>
            </xdr:cNvPr>
            <xdr:cNvSpPr txBox="1"/>
          </xdr:nvSpPr>
          <xdr:spPr>
            <a:xfrm>
              <a:off x="9639300" y="1554480"/>
              <a:ext cx="2189125" cy="5418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ES" sz="1400" i="0">
                  <a:latin typeface="Cambria Math" panose="02040503050406030204" pitchFamily="18" charset="0"/>
                </a:rPr>
                <a:t>[(</a:t>
              </a:r>
              <a:r>
                <a:rPr lang="es-ES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𝜕</a:t>
              </a:r>
              <a:r>
                <a:rPr lang="es-E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𝑉 ̅_𝑚𝑒𝑧𝑐𝑙𝑎)/(</a:t>
              </a:r>
              <a:r>
                <a:rPr lang="es-ES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𝜕</a:t>
              </a:r>
              <a:r>
                <a:rPr lang="es-PE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𝑋</a:t>
              </a:r>
              <a:r>
                <a:rPr lang="es-E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_𝐻2𝑆𝑂4 )]_(</a:t>
              </a:r>
              <a:r>
                <a:rPr lang="es-ES" sz="1400" b="0" i="0">
                  <a:latin typeface="Cambria Math" panose="02040503050406030204" pitchFamily="18" charset="0"/>
                </a:rPr>
                <a:t>𝑃, 𝑇, </a:t>
              </a:r>
              <a:r>
                <a:rPr lang="es-PE" sz="1400" b="0" i="0">
                  <a:latin typeface="Cambria Math" panose="02040503050406030204" pitchFamily="18" charset="0"/>
                </a:rPr>
                <a:t>𝑋</a:t>
              </a:r>
              <a:r>
                <a:rPr lang="es-ES" sz="1400" b="0" i="0">
                  <a:latin typeface="Cambria Math" panose="02040503050406030204" pitchFamily="18" charset="0"/>
                </a:rPr>
                <a:t>_𝐻2𝑂 )= 𝑉 ̿_𝐻2𝑆𝑂4</a:t>
              </a:r>
              <a:endParaRPr lang="es-ES" sz="1400"/>
            </a:p>
          </xdr:txBody>
        </xdr:sp>
      </mc:Fallback>
    </mc:AlternateContent>
    <xdr:clientData/>
  </xdr:oneCellAnchor>
  <xdr:oneCellAnchor>
    <xdr:from>
      <xdr:col>15</xdr:col>
      <xdr:colOff>480060</xdr:colOff>
      <xdr:row>11</xdr:row>
      <xdr:rowOff>60960</xdr:rowOff>
    </xdr:from>
    <xdr:ext cx="2101473" cy="5418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4DBF782A-15A0-4C3B-814A-4B3E02471B01}"/>
                </a:ext>
              </a:extLst>
            </xdr:cNvPr>
            <xdr:cNvSpPr txBox="1"/>
          </xdr:nvSpPr>
          <xdr:spPr>
            <a:xfrm>
              <a:off x="9654540" y="2164080"/>
              <a:ext cx="2101473" cy="5418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["/>
                            <m:endChr m:val="]"/>
                            <m:ctrlPr>
                              <a:rPr lang="es-ES" sz="14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s-ES" sz="140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s-ES" sz="14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𝜕</m:t>
                                </m:r>
                                <m:sSub>
                                  <m:sSubPr>
                                    <m:ctrlPr>
                                      <a:rPr lang="es-ES" sz="14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acc>
                                      <m:accPr>
                                        <m:chr m:val="̅"/>
                                        <m:ctrlPr>
                                          <a:rPr lang="es-ES" sz="140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accPr>
                                      <m:e>
                                        <m:r>
                                          <a:rPr lang="es-ES" sz="14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𝑉</m:t>
                                        </m:r>
                                      </m:e>
                                    </m:acc>
                                  </m:e>
                                  <m:sub>
                                    <m:r>
                                      <a:rPr lang="es-ES" sz="1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𝑚𝑒𝑧𝑐𝑙𝑎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a:rPr lang="es-ES" sz="14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𝜕</m:t>
                                </m:r>
                                <m:sSub>
                                  <m:sSubPr>
                                    <m:ctrlPr>
                                      <a:rPr lang="es-ES" sz="14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PE" sz="1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  <m:sub>
                                    <m:r>
                                      <a:rPr lang="es-ES" sz="1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𝐻</m:t>
                                    </m:r>
                                    <m:r>
                                      <a:rPr lang="es-ES" sz="1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2</m:t>
                                    </m:r>
                                    <m:r>
                                      <a:rPr lang="es-ES" sz="1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𝑂</m:t>
                                    </m:r>
                                  </m:sub>
                                </m:sSub>
                              </m:den>
                            </m:f>
                          </m:e>
                        </m:d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𝑃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, 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, </m:t>
                        </m:r>
                        <m:sSub>
                          <m:sSubPr>
                            <m:ctrlPr>
                              <a:rPr lang="es-E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PE" sz="14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s-ES" sz="1400" b="0" i="1">
                                <a:latin typeface="Cambria Math" panose="02040503050406030204" pitchFamily="18" charset="0"/>
                              </a:rPr>
                              <m:t>𝐸𝑡𝑂𝐻</m:t>
                            </m:r>
                          </m:sub>
                        </m:sSub>
                      </m:sub>
                    </m:sSub>
                    <m:r>
                      <a:rPr lang="es-ES" sz="1400" b="0" i="1">
                        <a:latin typeface="Cambria Math" panose="02040503050406030204" pitchFamily="18" charset="0"/>
                      </a:rPr>
                      <m:t>= </m:t>
                    </m:r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̿"/>
                            <m:ctrlPr>
                              <a:rPr lang="es-ES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s-ES" sz="14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</m:acc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𝐻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</m:oMath>
                </m:oMathPara>
              </a14:m>
              <a:endParaRPr lang="es-ES" sz="1400"/>
            </a:p>
          </xdr:txBody>
        </xdr:sp>
      </mc:Choice>
      <mc:Fallback xmlns="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4DBF782A-15A0-4C3B-814A-4B3E02471B01}"/>
                </a:ext>
              </a:extLst>
            </xdr:cNvPr>
            <xdr:cNvSpPr txBox="1"/>
          </xdr:nvSpPr>
          <xdr:spPr>
            <a:xfrm>
              <a:off x="9654540" y="2164080"/>
              <a:ext cx="2101473" cy="5418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ES" sz="1400" i="0">
                  <a:latin typeface="Cambria Math" panose="02040503050406030204" pitchFamily="18" charset="0"/>
                </a:rPr>
                <a:t>[(</a:t>
              </a:r>
              <a:r>
                <a:rPr lang="es-ES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𝜕</a:t>
              </a:r>
              <a:r>
                <a:rPr lang="es-E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𝑉 ̅_𝑚𝑒𝑧𝑐𝑙𝑎)/(</a:t>
              </a:r>
              <a:r>
                <a:rPr lang="es-ES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𝜕</a:t>
              </a:r>
              <a:r>
                <a:rPr lang="es-PE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𝑋</a:t>
              </a:r>
              <a:r>
                <a:rPr lang="es-E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_𝐻2𝑂 )]_(</a:t>
              </a:r>
              <a:r>
                <a:rPr lang="es-ES" sz="1400" b="0" i="0">
                  <a:latin typeface="Cambria Math" panose="02040503050406030204" pitchFamily="18" charset="0"/>
                </a:rPr>
                <a:t>𝑃, 𝑇, </a:t>
              </a:r>
              <a:r>
                <a:rPr lang="es-PE" sz="1400" b="0" i="0">
                  <a:latin typeface="Cambria Math" panose="02040503050406030204" pitchFamily="18" charset="0"/>
                </a:rPr>
                <a:t>𝑋</a:t>
              </a:r>
              <a:r>
                <a:rPr lang="es-ES" sz="1400" b="0" i="0">
                  <a:latin typeface="Cambria Math" panose="02040503050406030204" pitchFamily="18" charset="0"/>
                </a:rPr>
                <a:t>_𝐸𝑡𝑂𝐻 )= 𝑉 ̿_𝐻2𝑂</a:t>
              </a:r>
              <a:endParaRPr lang="es-ES" sz="1400"/>
            </a:p>
          </xdr:txBody>
        </xdr:sp>
      </mc:Fallback>
    </mc:AlternateContent>
    <xdr:clientData/>
  </xdr:oneCellAnchor>
  <xdr:oneCellAnchor>
    <xdr:from>
      <xdr:col>15</xdr:col>
      <xdr:colOff>502920</xdr:colOff>
      <xdr:row>14</xdr:row>
      <xdr:rowOff>129540</xdr:rowOff>
    </xdr:from>
    <xdr:ext cx="4091940" cy="4191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B6506D61-7211-1E4A-311B-0D58EC78F232}"/>
                </a:ext>
              </a:extLst>
            </xdr:cNvPr>
            <xdr:cNvSpPr txBox="1"/>
          </xdr:nvSpPr>
          <xdr:spPr>
            <a:xfrm>
              <a:off x="9677400" y="2804160"/>
              <a:ext cx="4091940" cy="4191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s-ES" sz="12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acc>
                        <m:accPr>
                          <m:chr m:val="̅"/>
                          <m:ctrlPr>
                            <a:rPr lang="es-ES" sz="12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accPr>
                        <m:e>
                          <m:r>
                            <a:rPr lang="es-ES" sz="12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𝑉</m:t>
                          </m:r>
                        </m:e>
                      </m:acc>
                    </m:e>
                    <m:sub>
                      <m:r>
                        <a:rPr lang="es-ES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𝑚𝑒𝑧𝑐𝑙𝑎</m:t>
                      </m:r>
                    </m:sub>
                  </m:sSub>
                  <m:r>
                    <a:rPr lang="es-ES" sz="12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=−2.4368</m:t>
                  </m:r>
                  <m:sSubSup>
                    <m:sSubSupPr>
                      <m:ctrlPr>
                        <a:rPr lang="es-ES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SupPr>
                    <m:e>
                      <m:r>
                        <a:rPr lang="es-ES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𝑋</m:t>
                      </m:r>
                    </m:e>
                    <m:sub>
                      <m:r>
                        <a:rPr lang="es-ES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𝐻</m:t>
                      </m:r>
                      <m:r>
                        <a:rPr lang="es-ES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</m:t>
                      </m:r>
                      <m:r>
                        <a:rPr lang="es-ES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𝑆𝑂</m:t>
                      </m:r>
                      <m:r>
                        <a:rPr lang="es-ES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4</m:t>
                      </m:r>
                    </m:sub>
                    <m:sup>
                      <m:r>
                        <a:rPr lang="es-ES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3</m:t>
                      </m:r>
                    </m:sup>
                  </m:sSubSup>
                  <m:r>
                    <a:rPr lang="es-ES" sz="12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+15.466</m:t>
                  </m:r>
                  <m:sSubSup>
                    <m:sSubSupPr>
                      <m:ctrlPr>
                        <a:rPr lang="es-ES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SupPr>
                    <m:e>
                      <m:r>
                        <a:rPr lang="es-ES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𝑋</m:t>
                      </m:r>
                    </m:e>
                    <m:sub>
                      <m:r>
                        <a:rPr lang="es-ES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𝐻</m:t>
                      </m:r>
                      <m:r>
                        <a:rPr lang="es-ES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</m:t>
                      </m:r>
                      <m:r>
                        <a:rPr lang="es-ES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𝑆𝑂</m:t>
                      </m:r>
                      <m:r>
                        <a:rPr lang="es-ES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4</m:t>
                      </m:r>
                    </m:sub>
                    <m:sup>
                      <m:r>
                        <a:rPr lang="es-ES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</m:t>
                      </m:r>
                    </m:sup>
                  </m:sSubSup>
                  <m:r>
                    <a:rPr lang="es-ES" sz="12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+22.603</m:t>
                  </m:r>
                  <m:sSub>
                    <m:sSubPr>
                      <m:ctrlPr>
                        <a:rPr lang="es-ES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ES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𝑋</m:t>
                      </m:r>
                    </m:e>
                    <m:sub>
                      <m:r>
                        <a:rPr lang="es-ES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𝐻</m:t>
                      </m:r>
                      <m:r>
                        <a:rPr lang="es-ES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</m:t>
                      </m:r>
                      <m:r>
                        <a:rPr lang="es-ES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𝑆𝑂</m:t>
                      </m:r>
                      <m:r>
                        <a:rPr lang="es-ES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4</m:t>
                      </m:r>
                    </m:sub>
                  </m:sSub>
                </m:oMath>
              </a14:m>
              <a:r>
                <a:rPr lang="es-PE" sz="1200"/>
                <a:t>+17.913</a:t>
              </a:r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B6506D61-7211-1E4A-311B-0D58EC78F232}"/>
                </a:ext>
              </a:extLst>
            </xdr:cNvPr>
            <xdr:cNvSpPr txBox="1"/>
          </xdr:nvSpPr>
          <xdr:spPr>
            <a:xfrm>
              <a:off x="9677400" y="2804160"/>
              <a:ext cx="4091940" cy="4191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s-ES" sz="12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𝑉 ̅_𝑚𝑒𝑧𝑐𝑙𝑎</a:t>
              </a:r>
              <a:r>
                <a:rPr lang="es-ES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=−2.4368𝑋_𝐻2𝑆𝑂4^3+15.466𝑋_𝐻2𝑆𝑂4^2+22.603𝑋_𝐻2𝑆𝑂4</a:t>
              </a:r>
              <a:r>
                <a:rPr lang="es-PE" sz="1200"/>
                <a:t>+17.913</a:t>
              </a:r>
            </a:p>
          </xdr:txBody>
        </xdr:sp>
      </mc:Fallback>
    </mc:AlternateContent>
    <xdr:clientData/>
  </xdr:oneCellAnchor>
  <xdr:oneCellAnchor>
    <xdr:from>
      <xdr:col>15</xdr:col>
      <xdr:colOff>487680</xdr:colOff>
      <xdr:row>16</xdr:row>
      <xdr:rowOff>99060</xdr:rowOff>
    </xdr:from>
    <xdr:ext cx="4008120" cy="3543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E74A2E25-106E-1458-4DAB-9F56CD48ABFB}"/>
                </a:ext>
              </a:extLst>
            </xdr:cNvPr>
            <xdr:cNvSpPr txBox="1"/>
          </xdr:nvSpPr>
          <xdr:spPr>
            <a:xfrm>
              <a:off x="9662160" y="3154680"/>
              <a:ext cx="4008120" cy="3543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s-ES" sz="12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d>
                        <m:dPr>
                          <m:begChr m:val="["/>
                          <m:endChr m:val="]"/>
                          <m:ctrlPr>
                            <a:rPr lang="es-ES" sz="12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dPr>
                        <m:e>
                          <m:f>
                            <m:fPr>
                              <m:ctrlPr>
                                <a:rPr lang="es-ES" sz="12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fPr>
                            <m:num>
                              <m:r>
                                <a:rPr lang="es-ES" sz="12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𝜕</m:t>
                              </m:r>
                              <m:sSub>
                                <m:sSubPr>
                                  <m:ctrlPr>
                                    <a:rPr lang="es-ES" sz="12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sSubPr>
                                <m:e>
                                  <m:acc>
                                    <m:accPr>
                                      <m:chr m:val="̅"/>
                                      <m:ctrlPr>
                                        <a:rPr lang="es-ES" sz="12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</m:ctrlPr>
                                    </m:accPr>
                                    <m:e>
                                      <m:r>
                                        <a:rPr lang="es-ES" sz="1200" b="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𝑉</m:t>
                                      </m:r>
                                    </m:e>
                                  </m:acc>
                                </m:e>
                                <m:sub>
                                  <m:r>
                                    <a:rPr lang="es-ES" sz="12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𝑚𝑒𝑧𝑐𝑙𝑎</m:t>
                                  </m:r>
                                </m:sub>
                              </m:sSub>
                            </m:num>
                            <m:den>
                              <m:r>
                                <a:rPr lang="es-ES" sz="12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𝜕</m:t>
                              </m:r>
                              <m:sSub>
                                <m:sSubPr>
                                  <m:ctrlPr>
                                    <a:rPr lang="es-ES" sz="12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sSubPr>
                                <m:e>
                                  <m:r>
                                    <a:rPr lang="es-PE" sz="12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𝑋</m:t>
                                  </m:r>
                                </m:e>
                                <m:sub>
                                  <m:r>
                                    <a:rPr lang="es-ES" sz="12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𝐻</m:t>
                                  </m:r>
                                  <m:r>
                                    <a:rPr lang="es-ES" sz="12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2</m:t>
                                  </m:r>
                                  <m:r>
                                    <a:rPr lang="es-ES" sz="12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𝑆𝑂</m:t>
                                  </m:r>
                                  <m:r>
                                    <a:rPr lang="es-ES" sz="12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4</m:t>
                                  </m:r>
                                </m:sub>
                              </m:sSub>
                            </m:den>
                          </m:f>
                        </m:e>
                      </m:d>
                    </m:e>
                    <m:sub>
                      <m:r>
                        <a:rPr lang="es-ES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𝑃</m:t>
                      </m:r>
                      <m:r>
                        <a:rPr lang="es-ES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 </m:t>
                      </m:r>
                      <m:r>
                        <a:rPr lang="es-ES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𝑇</m:t>
                      </m:r>
                      <m:r>
                        <a:rPr lang="es-ES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 </m:t>
                      </m:r>
                      <m:sSub>
                        <m:sSubPr>
                          <m:ctrlPr>
                            <a:rPr lang="es-ES" sz="12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PE" sz="12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𝑋</m:t>
                          </m:r>
                        </m:e>
                        <m:sub>
                          <m:r>
                            <a:rPr lang="es-ES" sz="12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𝐻</m:t>
                          </m:r>
                          <m:r>
                            <a:rPr lang="es-ES" sz="12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2</m:t>
                          </m:r>
                          <m:r>
                            <a:rPr lang="es-ES" sz="12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𝑂</m:t>
                          </m:r>
                        </m:sub>
                      </m:sSub>
                    </m:sub>
                  </m:sSub>
                </m:oMath>
              </a14:m>
              <a:r>
                <a:rPr lang="es-PE" sz="1200"/>
                <a:t>=-</a:t>
              </a:r>
              <a14:m>
                <m:oMath xmlns:m="http://schemas.openxmlformats.org/officeDocument/2006/math">
                  <m:r>
                    <a:rPr lang="es-ES" sz="12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7.3104</m:t>
                  </m:r>
                  <m:sSubSup>
                    <m:sSubSupPr>
                      <m:ctrlPr>
                        <a:rPr lang="es-ES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SupPr>
                    <m:e>
                      <m:r>
                        <a:rPr lang="es-ES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𝑋</m:t>
                      </m:r>
                    </m:e>
                    <m:sub>
                      <m:r>
                        <a:rPr lang="es-ES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𝐻</m:t>
                      </m:r>
                      <m:r>
                        <a:rPr lang="es-ES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</m:t>
                      </m:r>
                      <m:r>
                        <a:rPr lang="es-ES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𝑆𝑂</m:t>
                      </m:r>
                      <m:r>
                        <a:rPr lang="es-ES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4</m:t>
                      </m:r>
                    </m:sub>
                    <m:sup>
                      <m:r>
                        <a:rPr lang="es-ES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</m:t>
                      </m:r>
                    </m:sup>
                  </m:sSubSup>
                  <m:r>
                    <a:rPr lang="es-ES" sz="12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+30.932</m:t>
                  </m:r>
                  <m:sSub>
                    <m:sSubPr>
                      <m:ctrlPr>
                        <a:rPr lang="es-ES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ES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𝑋</m:t>
                      </m:r>
                    </m:e>
                    <m:sub>
                      <m:r>
                        <a:rPr lang="es-ES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𝐻</m:t>
                      </m:r>
                      <m:r>
                        <a:rPr lang="es-ES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</m:t>
                      </m:r>
                      <m:r>
                        <a:rPr lang="es-ES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𝑆𝑂</m:t>
                      </m:r>
                      <m:r>
                        <a:rPr lang="es-ES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4</m:t>
                      </m:r>
                    </m:sub>
                  </m:sSub>
                  <m:r>
                    <a:rPr lang="es-ES" sz="12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+22.603</m:t>
                  </m:r>
                </m:oMath>
              </a14:m>
              <a:endParaRPr lang="es-PE" sz="1200"/>
            </a:p>
          </xdr:txBody>
        </xdr:sp>
      </mc:Choice>
      <mc:Fallback xmlns="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E74A2E25-106E-1458-4DAB-9F56CD48ABFB}"/>
                </a:ext>
              </a:extLst>
            </xdr:cNvPr>
            <xdr:cNvSpPr txBox="1"/>
          </xdr:nvSpPr>
          <xdr:spPr>
            <a:xfrm>
              <a:off x="9662160" y="3154680"/>
              <a:ext cx="4008120" cy="3543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ES" sz="12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[(𝜕</a:t>
              </a:r>
              <a:r>
                <a:rPr lang="es-ES" sz="12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𝑉 ̅_𝑚𝑒𝑧𝑐𝑙𝑎)/(</a:t>
              </a:r>
              <a:r>
                <a:rPr lang="es-ES" sz="12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𝜕</a:t>
              </a:r>
              <a:r>
                <a:rPr lang="es-PE" sz="12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𝑋</a:t>
              </a:r>
              <a:r>
                <a:rPr lang="es-ES" sz="12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_𝐻2𝑆𝑂4 )]_(𝑃, 𝑇, </a:t>
              </a:r>
              <a:r>
                <a:rPr lang="es-PE" sz="12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𝑋</a:t>
              </a:r>
              <a:r>
                <a:rPr lang="es-ES" sz="12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_𝐻2𝑂 )</a:t>
              </a:r>
              <a:r>
                <a:rPr lang="es-PE" sz="1200"/>
                <a:t>=-</a:t>
              </a:r>
              <a:r>
                <a:rPr lang="es-ES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7.3104</a:t>
              </a:r>
              <a:r>
                <a:rPr lang="es-ES" sz="12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𝑋_𝐻2𝑆𝑂4^2+</a:t>
              </a:r>
              <a:r>
                <a:rPr lang="es-ES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30.932𝑋_𝐻2𝑆𝑂4+22.603</a:t>
              </a:r>
              <a:endParaRPr lang="es-PE" sz="1200"/>
            </a:p>
          </xdr:txBody>
        </xdr:sp>
      </mc:Fallback>
    </mc:AlternateContent>
    <xdr:clientData/>
  </xdr:oneCellAnchor>
  <xdr:twoCellAnchor editAs="oneCell">
    <xdr:from>
      <xdr:col>0</xdr:col>
      <xdr:colOff>83821</xdr:colOff>
      <xdr:row>35</xdr:row>
      <xdr:rowOff>120015</xdr:rowOff>
    </xdr:from>
    <xdr:to>
      <xdr:col>10</xdr:col>
      <xdr:colOff>207646</xdr:colOff>
      <xdr:row>57</xdr:row>
      <xdr:rowOff>172373</xdr:rowOff>
    </xdr:to>
    <xdr:pic>
      <xdr:nvPicPr>
        <xdr:cNvPr id="8" name="Google Shape;439;p58">
          <a:extLst>
            <a:ext uri="{FF2B5EF4-FFF2-40B4-BE49-F238E27FC236}">
              <a16:creationId xmlns:a16="http://schemas.microsoft.com/office/drawing/2014/main" id="{52B483E5-51F8-9FE8-6127-556199B0107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>
          <a:alphaModFix/>
        </a:blip>
        <a:srcRect/>
        <a:stretch/>
      </xdr:blipFill>
      <xdr:spPr>
        <a:xfrm>
          <a:off x="83821" y="6734175"/>
          <a:ext cx="6151245" cy="407571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182880</xdr:colOff>
      <xdr:row>21</xdr:row>
      <xdr:rowOff>45720</xdr:rowOff>
    </xdr:from>
    <xdr:to>
      <xdr:col>12</xdr:col>
      <xdr:colOff>624840</xdr:colOff>
      <xdr:row>37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39F6900-A059-E82D-91E0-169907A0D2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11</xdr:col>
      <xdr:colOff>586740</xdr:colOff>
      <xdr:row>3</xdr:row>
      <xdr:rowOff>60960</xdr:rowOff>
    </xdr:from>
    <xdr:ext cx="2377440" cy="66294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71E1998E-75ED-4C11-8F25-64C5627F0D89}"/>
                </a:ext>
              </a:extLst>
            </xdr:cNvPr>
            <xdr:cNvSpPr txBox="1"/>
          </xdr:nvSpPr>
          <xdr:spPr>
            <a:xfrm>
              <a:off x="9304020" y="609600"/>
              <a:ext cx="2377440" cy="6629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PE" sz="10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0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ES" sz="1000" b="0" i="1">
                            <a:latin typeface="Cambria Math" panose="02040503050406030204" pitchFamily="18" charset="0"/>
                          </a:rPr>
                          <m:t>𝐻</m:t>
                        </m:r>
                        <m:r>
                          <a:rPr lang="es-ES" sz="1000" b="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s-ES" sz="1000" b="0" i="1">
                            <a:latin typeface="Cambria Math" panose="02040503050406030204" pitchFamily="18" charset="0"/>
                          </a:rPr>
                          <m:t>𝑆𝑂</m:t>
                        </m:r>
                        <m:r>
                          <a:rPr lang="es-ES" sz="1000" b="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  <m:r>
                      <a:rPr lang="es-ES" sz="10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ES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d>
                              <m:dPr>
                                <m:ctrlPr>
                                  <a:rPr lang="es-ES" sz="10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ES" sz="1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es-ES" sz="1000" b="0" i="1">
                                        <a:latin typeface="Cambria Math" panose="02040503050406030204" pitchFamily="18" charset="0"/>
                                      </a:rPr>
                                      <m:t>𝑚</m:t>
                                    </m:r>
                                  </m:num>
                                  <m:den>
                                    <m:acc>
                                      <m:accPr>
                                        <m:chr m:val="̅"/>
                                        <m:ctrlPr>
                                          <a:rPr lang="es-ES" sz="10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accPr>
                                      <m:e>
                                        <m:r>
                                          <a:rPr lang="es-ES" sz="1000" b="0" i="1">
                                            <a:latin typeface="Cambria Math" panose="02040503050406030204" pitchFamily="18" charset="0"/>
                                          </a:rPr>
                                          <m:t>𝑀</m:t>
                                        </m:r>
                                      </m:e>
                                    </m:acc>
                                  </m:den>
                                </m:f>
                              </m:e>
                            </m:d>
                          </m:e>
                          <m:sub>
                            <m:r>
                              <a:rPr lang="es-ES" sz="1000" b="0" i="1">
                                <a:latin typeface="Cambria Math" panose="02040503050406030204" pitchFamily="18" charset="0"/>
                              </a:rPr>
                              <m:t>𝐻</m:t>
                            </m:r>
                            <m:r>
                              <a:rPr lang="es-ES" sz="10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s-ES" sz="1000" b="0" i="1">
                                <a:latin typeface="Cambria Math" panose="02040503050406030204" pitchFamily="18" charset="0"/>
                              </a:rPr>
                              <m:t>𝑆𝑂</m:t>
                            </m:r>
                            <m:r>
                              <a:rPr lang="es-ES" sz="1000" b="0" i="1">
                                <a:latin typeface="Cambria Math" panose="02040503050406030204" pitchFamily="18" charset="0"/>
                              </a:rPr>
                              <m:t>4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s-ES" sz="1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d>
                              <m:dPr>
                                <m:ctrlPr>
                                  <a:rPr lang="es-ES" sz="1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ES" sz="10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lang="es-ES" sz="10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𝑚</m:t>
                                    </m:r>
                                  </m:num>
                                  <m:den>
                                    <m:acc>
                                      <m:accPr>
                                        <m:chr m:val="̅"/>
                                        <m:ctrlPr>
                                          <a:rPr lang="es-ES" sz="10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accPr>
                                      <m:e>
                                        <m:r>
                                          <a:rPr lang="es-ES" sz="10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𝑀</m:t>
                                        </m:r>
                                      </m:e>
                                    </m:acc>
                                  </m:den>
                                </m:f>
                              </m:e>
                            </m:d>
                          </m:e>
                          <m:sub>
                            <m:r>
                              <a:rPr lang="es-ES" sz="1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𝐻</m:t>
                            </m:r>
                            <m:r>
                              <a:rPr lang="es-ES" sz="1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  <m:r>
                              <a:rPr lang="es-ES" sz="1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𝑆𝑂</m:t>
                            </m:r>
                            <m:r>
                              <a:rPr lang="es-ES" sz="1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</m:sSub>
                        <m:r>
                          <a:rPr lang="es-ES" sz="10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d>
                              <m:dPr>
                                <m:ctrlPr>
                                  <a:rPr lang="es-ES" sz="1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ES" sz="10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lang="es-ES" sz="10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𝑚</m:t>
                                    </m:r>
                                  </m:num>
                                  <m:den>
                                    <m:acc>
                                      <m:accPr>
                                        <m:chr m:val="̅"/>
                                        <m:ctrlPr>
                                          <a:rPr lang="es-ES" sz="10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accPr>
                                      <m:e>
                                        <m:r>
                                          <a:rPr lang="es-ES" sz="10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𝑀</m:t>
                                        </m:r>
                                      </m:e>
                                    </m:acc>
                                  </m:den>
                                </m:f>
                              </m:e>
                            </m:d>
                          </m:e>
                          <m:sub>
                            <m:r>
                              <a:rPr lang="es-ES" sz="1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𝐻</m:t>
                            </m:r>
                            <m:r>
                              <a:rPr lang="es-ES" sz="1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  <m:r>
                              <a:rPr lang="es-ES" sz="1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𝑂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s-PE" sz="1000"/>
            </a:p>
          </xdr:txBody>
        </xdr:sp>
      </mc:Choice>
      <mc:Fallback xmlns="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71E1998E-75ED-4C11-8F25-64C5627F0D89}"/>
                </a:ext>
              </a:extLst>
            </xdr:cNvPr>
            <xdr:cNvSpPr txBox="1"/>
          </xdr:nvSpPr>
          <xdr:spPr>
            <a:xfrm>
              <a:off x="9304020" y="609600"/>
              <a:ext cx="2377440" cy="6629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000" b="0" i="0">
                  <a:latin typeface="Cambria Math" panose="02040503050406030204" pitchFamily="18" charset="0"/>
                </a:rPr>
                <a:t>𝑋</a:t>
              </a:r>
              <a:r>
                <a:rPr lang="es-PE" sz="1000" b="0" i="0">
                  <a:latin typeface="Cambria Math" panose="02040503050406030204" pitchFamily="18" charset="0"/>
                </a:rPr>
                <a:t>_</a:t>
              </a:r>
              <a:r>
                <a:rPr lang="es-ES" sz="1000" b="0" i="0">
                  <a:latin typeface="Cambria Math" panose="02040503050406030204" pitchFamily="18" charset="0"/>
                </a:rPr>
                <a:t>𝐻2𝑆𝑂4=(𝑚/𝑀 ̅ )_𝐻2𝑆𝑂4/(</a:t>
              </a:r>
              <a:r>
                <a:rPr lang="es-ES" sz="10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(𝑚/𝑀 ̅ )_𝐻2𝑆𝑂4</a:t>
              </a:r>
              <a:r>
                <a:rPr lang="es-ES" sz="1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es-ES" sz="10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(𝑚/𝑀 ̅ )_𝐻2</a:t>
              </a:r>
              <a:r>
                <a:rPr lang="es-ES" sz="1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𝑂 )</a:t>
              </a:r>
              <a:endParaRPr lang="es-PE" sz="1000"/>
            </a:p>
          </xdr:txBody>
        </xdr:sp>
      </mc:Fallback>
    </mc:AlternateContent>
    <xdr:clientData/>
  </xdr:oneCellAnchor>
  <xdr:oneCellAnchor>
    <xdr:from>
      <xdr:col>15</xdr:col>
      <xdr:colOff>152400</xdr:colOff>
      <xdr:row>3</xdr:row>
      <xdr:rowOff>15240</xdr:rowOff>
    </xdr:from>
    <xdr:ext cx="3497580" cy="77724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7074BAD1-62AE-44CD-B520-7A93343E5865}"/>
                </a:ext>
              </a:extLst>
            </xdr:cNvPr>
            <xdr:cNvSpPr txBox="1"/>
          </xdr:nvSpPr>
          <xdr:spPr>
            <a:xfrm>
              <a:off x="12039600" y="563880"/>
              <a:ext cx="3497580" cy="7772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PE" sz="10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0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ES" sz="1000" b="0" i="1">
                            <a:latin typeface="Cambria Math" panose="02040503050406030204" pitchFamily="18" charset="0"/>
                          </a:rPr>
                          <m:t>𝐻</m:t>
                        </m:r>
                        <m:r>
                          <a:rPr lang="es-ES" sz="1000" b="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s-ES" sz="1000" b="0" i="1">
                            <a:latin typeface="Cambria Math" panose="02040503050406030204" pitchFamily="18" charset="0"/>
                          </a:rPr>
                          <m:t>𝑆𝑂</m:t>
                        </m:r>
                        <m:r>
                          <a:rPr lang="es-ES" sz="1000" b="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  <m:r>
                      <a:rPr lang="es-ES" sz="10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ES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d>
                              <m:dPr>
                                <m:ctrlPr>
                                  <a:rPr lang="es-ES" sz="10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ES" sz="1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es-ES" sz="1000" b="0" i="1">
                                        <a:latin typeface="Cambria Math" panose="02040503050406030204" pitchFamily="18" charset="0"/>
                                      </a:rPr>
                                      <m:t>%</m:t>
                                    </m:r>
                                    <m:r>
                                      <a:rPr lang="es-ES" sz="1000" b="0" i="1">
                                        <a:latin typeface="Cambria Math" panose="02040503050406030204" pitchFamily="18" charset="0"/>
                                      </a:rPr>
                                      <m:t>𝑚𝑥</m:t>
                                    </m:r>
                                    <m:r>
                                      <a:rPr lang="es-ES" sz="10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𝜌</m:t>
                                    </m:r>
                                    <m:r>
                                      <a:rPr lang="es-ES" sz="1000" b="0" i="1">
                                        <a:latin typeface="Cambria Math" panose="02040503050406030204" pitchFamily="18" charset="0"/>
                                      </a:rPr>
                                      <m:t>/100</m:t>
                                    </m:r>
                                  </m:num>
                                  <m:den>
                                    <m:acc>
                                      <m:accPr>
                                        <m:chr m:val="̅"/>
                                        <m:ctrlPr>
                                          <a:rPr lang="es-ES" sz="10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accPr>
                                      <m:e>
                                        <m:r>
                                          <a:rPr lang="es-ES" sz="1000" b="0" i="1">
                                            <a:latin typeface="Cambria Math" panose="02040503050406030204" pitchFamily="18" charset="0"/>
                                          </a:rPr>
                                          <m:t>𝑀</m:t>
                                        </m:r>
                                      </m:e>
                                    </m:acc>
                                  </m:den>
                                </m:f>
                              </m:e>
                            </m:d>
                          </m:e>
                          <m:sub>
                            <m:r>
                              <a:rPr lang="es-ES" sz="1000" b="0" i="1">
                                <a:latin typeface="Cambria Math" panose="02040503050406030204" pitchFamily="18" charset="0"/>
                              </a:rPr>
                              <m:t>𝐻</m:t>
                            </m:r>
                            <m:r>
                              <a:rPr lang="es-ES" sz="10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s-ES" sz="1000" b="0" i="1">
                                <a:latin typeface="Cambria Math" panose="02040503050406030204" pitchFamily="18" charset="0"/>
                              </a:rPr>
                              <m:t>𝑆𝑂</m:t>
                            </m:r>
                            <m:r>
                              <a:rPr lang="es-ES" sz="1000" b="0" i="1">
                                <a:latin typeface="Cambria Math" panose="02040503050406030204" pitchFamily="18" charset="0"/>
                              </a:rPr>
                              <m:t>4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s-ES" sz="1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d>
                              <m:dPr>
                                <m:ctrlPr>
                                  <a:rPr lang="es-ES" sz="1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ES" sz="10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lang="es-E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%</m:t>
                                    </m:r>
                                    <m:r>
                                      <a:rPr lang="es-E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𝑚𝑥</m:t>
                                    </m:r>
                                    <m:r>
                                      <a:rPr lang="es-E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𝜌</m:t>
                                    </m:r>
                                    <m:r>
                                      <a:rPr lang="es-E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/100</m:t>
                                    </m:r>
                                  </m:num>
                                  <m:den>
                                    <m:acc>
                                      <m:accPr>
                                        <m:chr m:val="̅"/>
                                        <m:ctrlPr>
                                          <a:rPr lang="es-ES" sz="10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accPr>
                                      <m:e>
                                        <m:r>
                                          <a:rPr lang="es-ES" sz="10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𝑀</m:t>
                                        </m:r>
                                      </m:e>
                                    </m:acc>
                                  </m:den>
                                </m:f>
                              </m:e>
                            </m:d>
                          </m:e>
                          <m:sub>
                            <m:r>
                              <a:rPr lang="es-ES" sz="1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𝐻</m:t>
                            </m:r>
                            <m:r>
                              <a:rPr lang="es-ES" sz="1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  <m:r>
                              <a:rPr lang="es-ES" sz="1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𝑆𝑂</m:t>
                            </m:r>
                            <m:r>
                              <a:rPr lang="es-ES" sz="1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</m:sSub>
                        <m:r>
                          <a:rPr lang="es-ES" sz="10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d>
                              <m:dPr>
                                <m:ctrlPr>
                                  <a:rPr lang="es-ES" sz="1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ES" sz="10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lang="es-ES" sz="10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(100−</m:t>
                                    </m:r>
                                    <m:r>
                                      <a:rPr lang="es-E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%</m:t>
                                    </m:r>
                                    <m:r>
                                      <a:rPr lang="es-E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𝑚</m:t>
                                    </m:r>
                                    <m:r>
                                      <a:rPr lang="es-E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)</m:t>
                                    </m:r>
                                    <m:r>
                                      <a:rPr lang="es-E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𝑥</m:t>
                                    </m:r>
                                    <m:r>
                                      <a:rPr lang="es-E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𝜌</m:t>
                                    </m:r>
                                    <m:r>
                                      <a:rPr lang="es-E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/100</m:t>
                                    </m:r>
                                  </m:num>
                                  <m:den>
                                    <m:acc>
                                      <m:accPr>
                                        <m:chr m:val="̅"/>
                                        <m:ctrlPr>
                                          <a:rPr lang="es-ES" sz="10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accPr>
                                      <m:e>
                                        <m:r>
                                          <a:rPr lang="es-ES" sz="10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𝑀</m:t>
                                        </m:r>
                                      </m:e>
                                    </m:acc>
                                  </m:den>
                                </m:f>
                              </m:e>
                            </m:d>
                          </m:e>
                          <m:sub>
                            <m:r>
                              <a:rPr lang="es-ES" sz="1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𝐻</m:t>
                            </m:r>
                            <m:r>
                              <a:rPr lang="es-ES" sz="1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  <m:r>
                              <a:rPr lang="es-ES" sz="1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𝑂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s-PE" sz="1000"/>
            </a:p>
          </xdr:txBody>
        </xdr:sp>
      </mc:Choice>
      <mc:Fallback xmlns="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7074BAD1-62AE-44CD-B520-7A93343E5865}"/>
                </a:ext>
              </a:extLst>
            </xdr:cNvPr>
            <xdr:cNvSpPr txBox="1"/>
          </xdr:nvSpPr>
          <xdr:spPr>
            <a:xfrm>
              <a:off x="12039600" y="563880"/>
              <a:ext cx="3497580" cy="7772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000" b="0" i="0">
                  <a:latin typeface="Cambria Math" panose="02040503050406030204" pitchFamily="18" charset="0"/>
                </a:rPr>
                <a:t>𝑋</a:t>
              </a:r>
              <a:r>
                <a:rPr lang="es-PE" sz="1000" b="0" i="0">
                  <a:latin typeface="Cambria Math" panose="02040503050406030204" pitchFamily="18" charset="0"/>
                </a:rPr>
                <a:t>_</a:t>
              </a:r>
              <a:r>
                <a:rPr lang="es-ES" sz="1000" b="0" i="0">
                  <a:latin typeface="Cambria Math" panose="02040503050406030204" pitchFamily="18" charset="0"/>
                </a:rPr>
                <a:t>𝐻2𝑆𝑂4=((%𝑚𝑥</a:t>
              </a:r>
              <a:r>
                <a:rPr lang="es-ES" sz="1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s-ES" sz="1000" b="0" i="0">
                  <a:latin typeface="Cambria Math" panose="02040503050406030204" pitchFamily="18" charset="0"/>
                </a:rPr>
                <a:t>/100)/𝑀 ̅ )_𝐻2𝑆𝑂4/(</a:t>
              </a:r>
              <a:r>
                <a:rPr lang="es-ES" sz="10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((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%𝑚𝑥𝜌/100</a:t>
              </a:r>
              <a:r>
                <a:rPr lang="es-ES" sz="10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)/𝑀 ̅ )_𝐻2𝑆𝑂4</a:t>
              </a:r>
              <a:r>
                <a:rPr lang="es-ES" sz="1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es-ES" sz="10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((</a:t>
              </a:r>
              <a:r>
                <a:rPr lang="es-ES" sz="1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(100−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%𝑚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𝑥𝜌/100</a:t>
              </a:r>
              <a:r>
                <a:rPr lang="es-ES" sz="10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)/𝑀 ̅ )_𝐻2</a:t>
              </a:r>
              <a:r>
                <a:rPr lang="es-ES" sz="1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𝑂 )</a:t>
              </a:r>
              <a:endParaRPr lang="es-PE" sz="10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632460</xdr:colOff>
      <xdr:row>8</xdr:row>
      <xdr:rowOff>99060</xdr:rowOff>
    </xdr:from>
    <xdr:to>
      <xdr:col>16</xdr:col>
      <xdr:colOff>464820</xdr:colOff>
      <xdr:row>23</xdr:row>
      <xdr:rowOff>68580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4E8C667-7F5F-DDEA-B734-64231A8C6D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777240</xdr:colOff>
      <xdr:row>7</xdr:row>
      <xdr:rowOff>137160</xdr:rowOff>
    </xdr:from>
    <xdr:to>
      <xdr:col>19</xdr:col>
      <xdr:colOff>556260</xdr:colOff>
      <xdr:row>22</xdr:row>
      <xdr:rowOff>91440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D8BC0A6-4859-D76D-1289-AA7E93998A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O28"/>
  <sheetViews>
    <sheetView topLeftCell="A6" workbookViewId="0">
      <selection activeCell="O9" sqref="O9"/>
    </sheetView>
  </sheetViews>
  <sheetFormatPr baseColWidth="10" defaultRowHeight="14.4" x14ac:dyDescent="0.3"/>
  <cols>
    <col min="2" max="2" width="12.77734375" customWidth="1"/>
    <col min="9" max="9" width="13.44140625" customWidth="1"/>
  </cols>
  <sheetData>
    <row r="2" spans="2:11" x14ac:dyDescent="0.3">
      <c r="B2" t="s">
        <v>3</v>
      </c>
    </row>
    <row r="3" spans="2:11" ht="15.6" x14ac:dyDescent="0.35">
      <c r="B3" t="s">
        <v>60</v>
      </c>
    </row>
    <row r="4" spans="2:11" ht="15.6" x14ac:dyDescent="0.35">
      <c r="D4" s="10" t="s">
        <v>54</v>
      </c>
      <c r="E4" s="3">
        <v>46</v>
      </c>
    </row>
    <row r="5" spans="2:11" ht="15.6" x14ac:dyDescent="0.35">
      <c r="D5" s="3" t="s">
        <v>7</v>
      </c>
      <c r="E5" s="3">
        <v>18</v>
      </c>
    </row>
    <row r="6" spans="2:11" x14ac:dyDescent="0.3">
      <c r="D6" s="60" t="s">
        <v>6</v>
      </c>
      <c r="E6" s="60"/>
      <c r="F6" s="61" t="s">
        <v>10</v>
      </c>
      <c r="G6" s="62"/>
      <c r="H6" s="3" t="s">
        <v>11</v>
      </c>
      <c r="I6" s="3" t="s">
        <v>57</v>
      </c>
      <c r="J6" s="3" t="s">
        <v>56</v>
      </c>
    </row>
    <row r="7" spans="2:11" ht="15.6" x14ac:dyDescent="0.35">
      <c r="B7" s="59" t="s">
        <v>59</v>
      </c>
      <c r="C7" s="3" t="s">
        <v>4</v>
      </c>
      <c r="D7" s="54" t="s">
        <v>55</v>
      </c>
      <c r="E7" s="3" t="s">
        <v>7</v>
      </c>
      <c r="F7" s="54" t="s">
        <v>55</v>
      </c>
      <c r="G7" s="3" t="s">
        <v>7</v>
      </c>
      <c r="H7" s="7" t="s">
        <v>12</v>
      </c>
      <c r="I7" s="3" t="s">
        <v>14</v>
      </c>
      <c r="J7" s="3" t="s">
        <v>14</v>
      </c>
      <c r="K7" s="55" t="s">
        <v>58</v>
      </c>
    </row>
    <row r="8" spans="2:11" x14ac:dyDescent="0.3">
      <c r="B8" s="3">
        <v>0</v>
      </c>
      <c r="C8" s="3">
        <v>0.99780000000000002</v>
      </c>
      <c r="D8" s="6">
        <f>B8/$E$4</f>
        <v>0</v>
      </c>
      <c r="E8" s="6">
        <f>(100-B8)/$E$5</f>
        <v>5.5555555555555554</v>
      </c>
      <c r="F8" s="3">
        <f>D8/(D8+E8)</f>
        <v>0</v>
      </c>
      <c r="G8" s="3">
        <f>1-F8</f>
        <v>1</v>
      </c>
      <c r="H8" s="6">
        <f>F8*$E$4+G8*$E$5</f>
        <v>18</v>
      </c>
      <c r="I8" s="6">
        <f>H8/C8</f>
        <v>18.039687312086588</v>
      </c>
      <c r="J8" s="6">
        <f>-4.3923*F8*F8*F8+10.43*F8*F8+34.202*F8+18.075</f>
        <v>18.074999999999999</v>
      </c>
      <c r="K8" s="6">
        <f>(J8-I8)*100/I8</f>
        <v>0.19575000000000783</v>
      </c>
    </row>
    <row r="9" spans="2:11" x14ac:dyDescent="0.3">
      <c r="B9" s="3">
        <v>5</v>
      </c>
      <c r="C9">
        <v>0.98670000000000002</v>
      </c>
      <c r="D9" s="6">
        <f t="shared" ref="D9:D28" si="0">B9/$E$4</f>
        <v>0.10869565217391304</v>
      </c>
      <c r="E9" s="6">
        <f t="shared" ref="E9:E28" si="1">(100-B9)/$E$5</f>
        <v>5.2777777777777777</v>
      </c>
      <c r="F9" s="6">
        <f t="shared" ref="F9:F28" si="2">D9/(D9+E9)</f>
        <v>2.0179372197309416E-2</v>
      </c>
      <c r="G9" s="6">
        <f t="shared" ref="G9:G28" si="3">1-F9</f>
        <v>0.97982062780269064</v>
      </c>
      <c r="H9" s="6">
        <f t="shared" ref="H9:H28" si="4">F9*$E$4+G9*$E$5</f>
        <v>18.565022421524663</v>
      </c>
      <c r="I9" s="6">
        <f t="shared" ref="I9:I28" si="5">H9/C9</f>
        <v>18.815265452036751</v>
      </c>
      <c r="J9" s="6">
        <f t="shared" ref="J9:J28" si="6">-4.3923*F9*F9*F9+10.43*F9*F9+34.202*F9+18.075</f>
        <v>18.769385965219605</v>
      </c>
      <c r="K9" s="6">
        <f t="shared" ref="K9:K28" si="7">(J9-I9)*100/I9</f>
        <v>-0.24384182585199446</v>
      </c>
    </row>
    <row r="10" spans="2:11" x14ac:dyDescent="0.3">
      <c r="B10" s="3">
        <v>10</v>
      </c>
      <c r="C10" s="9">
        <v>0.98040000000000005</v>
      </c>
      <c r="D10" s="6">
        <f t="shared" si="0"/>
        <v>0.21739130434782608</v>
      </c>
      <c r="E10" s="6">
        <f t="shared" si="1"/>
        <v>5</v>
      </c>
      <c r="F10" s="6">
        <f t="shared" si="2"/>
        <v>4.1666666666666664E-2</v>
      </c>
      <c r="G10" s="6">
        <f t="shared" si="3"/>
        <v>0.95833333333333337</v>
      </c>
      <c r="H10" s="6">
        <f t="shared" si="4"/>
        <v>19.166666666666668</v>
      </c>
      <c r="I10" s="6">
        <f t="shared" si="5"/>
        <v>19.54984360125119</v>
      </c>
      <c r="J10" s="6">
        <f t="shared" si="6"/>
        <v>19.517873242187498</v>
      </c>
      <c r="K10" s="6">
        <f t="shared" si="7"/>
        <v>-0.16353255665761868</v>
      </c>
    </row>
    <row r="11" spans="2:11" x14ac:dyDescent="0.3">
      <c r="B11" s="3">
        <v>15</v>
      </c>
      <c r="C11">
        <v>0.97330000000000005</v>
      </c>
      <c r="D11" s="6">
        <f t="shared" si="0"/>
        <v>0.32608695652173914</v>
      </c>
      <c r="E11" s="6">
        <f t="shared" si="1"/>
        <v>4.7222222222222223</v>
      </c>
      <c r="F11" s="6">
        <f t="shared" si="2"/>
        <v>6.4593301435406703E-2</v>
      </c>
      <c r="G11" s="6">
        <f t="shared" si="3"/>
        <v>0.93540669856459324</v>
      </c>
      <c r="H11" s="6">
        <f t="shared" si="4"/>
        <v>19.808612440191386</v>
      </c>
      <c r="I11" s="6">
        <f t="shared" si="5"/>
        <v>20.352011137564354</v>
      </c>
      <c r="J11" s="6">
        <f t="shared" si="6"/>
        <v>20.326553393396985</v>
      </c>
      <c r="K11" s="6">
        <f t="shared" si="7"/>
        <v>-0.12508711790345248</v>
      </c>
    </row>
    <row r="12" spans="2:11" x14ac:dyDescent="0.3">
      <c r="B12" s="3">
        <v>20</v>
      </c>
      <c r="C12">
        <v>0.96640000000000004</v>
      </c>
      <c r="D12" s="6">
        <f t="shared" si="0"/>
        <v>0.43478260869565216</v>
      </c>
      <c r="E12" s="6">
        <f t="shared" si="1"/>
        <v>4.4444444444444446</v>
      </c>
      <c r="F12" s="6">
        <f t="shared" si="2"/>
        <v>8.9108910891089105E-2</v>
      </c>
      <c r="G12" s="6">
        <f t="shared" si="3"/>
        <v>0.91089108910891092</v>
      </c>
      <c r="H12" s="6">
        <f t="shared" si="4"/>
        <v>20.495049504950494</v>
      </c>
      <c r="I12" s="6">
        <f t="shared" si="5"/>
        <v>21.207625729460361</v>
      </c>
      <c r="J12" s="6">
        <f t="shared" si="6"/>
        <v>21.20241350469426</v>
      </c>
      <c r="K12" s="6">
        <f t="shared" si="7"/>
        <v>-2.4577125382123984E-2</v>
      </c>
    </row>
    <row r="13" spans="2:11" x14ac:dyDescent="0.3">
      <c r="B13" s="3">
        <v>25</v>
      </c>
      <c r="C13" s="3">
        <v>0.95889999999999997</v>
      </c>
      <c r="D13" s="6">
        <f t="shared" si="0"/>
        <v>0.54347826086956519</v>
      </c>
      <c r="E13" s="6">
        <f t="shared" si="1"/>
        <v>4.166666666666667</v>
      </c>
      <c r="F13" s="6">
        <f t="shared" si="2"/>
        <v>0.11538461538461536</v>
      </c>
      <c r="G13" s="6">
        <f t="shared" si="3"/>
        <v>0.88461538461538458</v>
      </c>
      <c r="H13" s="6">
        <f t="shared" si="4"/>
        <v>21.23076923076923</v>
      </c>
      <c r="I13" s="6">
        <f t="shared" si="5"/>
        <v>22.140754229606038</v>
      </c>
      <c r="J13" s="6">
        <f t="shared" si="6"/>
        <v>22.153498173645879</v>
      </c>
      <c r="K13" s="6">
        <f t="shared" si="7"/>
        <v>5.755876203530412E-2</v>
      </c>
    </row>
    <row r="14" spans="2:11" x14ac:dyDescent="0.3">
      <c r="B14" s="3">
        <v>30</v>
      </c>
      <c r="C14" s="4">
        <v>0.95069999999999999</v>
      </c>
      <c r="D14" s="6">
        <f t="shared" si="0"/>
        <v>0.65217391304347827</v>
      </c>
      <c r="E14" s="6">
        <f t="shared" si="1"/>
        <v>3.8888888888888888</v>
      </c>
      <c r="F14" s="6">
        <f t="shared" si="2"/>
        <v>0.14361702127659576</v>
      </c>
      <c r="G14" s="6">
        <f t="shared" si="3"/>
        <v>0.8563829787234043</v>
      </c>
      <c r="H14" s="6">
        <f t="shared" si="4"/>
        <v>22.021276595744681</v>
      </c>
      <c r="I14" s="6">
        <f t="shared" si="5"/>
        <v>23.163223515035952</v>
      </c>
      <c r="J14" s="6">
        <f t="shared" si="6"/>
        <v>23.1891059927563</v>
      </c>
      <c r="K14" s="6">
        <f t="shared" si="7"/>
        <v>0.11173953272758778</v>
      </c>
    </row>
    <row r="15" spans="2:11" x14ac:dyDescent="0.3">
      <c r="B15" s="3">
        <v>35</v>
      </c>
      <c r="C15" s="3">
        <v>0.9415</v>
      </c>
      <c r="D15" s="6">
        <f t="shared" si="0"/>
        <v>0.76086956521739135</v>
      </c>
      <c r="E15" s="6">
        <f t="shared" si="1"/>
        <v>3.6111111111111112</v>
      </c>
      <c r="F15" s="6">
        <f t="shared" si="2"/>
        <v>0.17403314917127075</v>
      </c>
      <c r="G15" s="6">
        <f t="shared" si="3"/>
        <v>0.82596685082872923</v>
      </c>
      <c r="H15" s="6">
        <f t="shared" si="4"/>
        <v>22.872928176795583</v>
      </c>
      <c r="I15" s="6">
        <f t="shared" si="5"/>
        <v>24.294135078911932</v>
      </c>
      <c r="J15" s="6">
        <f t="shared" si="6"/>
        <v>24.320028809983015</v>
      </c>
      <c r="K15" s="6">
        <f t="shared" si="7"/>
        <v>0.10658428870579259</v>
      </c>
    </row>
    <row r="16" spans="2:11" x14ac:dyDescent="0.3">
      <c r="B16" s="3">
        <v>40</v>
      </c>
      <c r="C16" s="4">
        <v>0.93520000000000003</v>
      </c>
      <c r="D16" s="6">
        <f t="shared" si="0"/>
        <v>0.86956521739130432</v>
      </c>
      <c r="E16" s="6">
        <f t="shared" si="1"/>
        <v>3.3333333333333335</v>
      </c>
      <c r="F16" s="6">
        <f t="shared" si="2"/>
        <v>0.20689655172413793</v>
      </c>
      <c r="G16" s="6">
        <f t="shared" si="3"/>
        <v>0.7931034482758621</v>
      </c>
      <c r="H16" s="6">
        <f t="shared" si="4"/>
        <v>23.793103448275865</v>
      </c>
      <c r="I16" s="6">
        <f t="shared" si="5"/>
        <v>25.441727382673079</v>
      </c>
      <c r="J16" s="6">
        <f t="shared" si="6"/>
        <v>25.558844159252121</v>
      </c>
      <c r="K16" s="6">
        <f t="shared" si="7"/>
        <v>0.46033343104998364</v>
      </c>
    </row>
    <row r="17" spans="2:15" x14ac:dyDescent="0.3">
      <c r="B17" s="3">
        <v>45</v>
      </c>
      <c r="C17" s="4">
        <v>0.92079999999999995</v>
      </c>
      <c r="D17" s="6">
        <f t="shared" si="0"/>
        <v>0.97826086956521741</v>
      </c>
      <c r="E17" s="6">
        <f t="shared" si="1"/>
        <v>3.0555555555555554</v>
      </c>
      <c r="F17" s="6">
        <f t="shared" si="2"/>
        <v>0.24251497005988024</v>
      </c>
      <c r="G17" s="6">
        <f t="shared" si="3"/>
        <v>0.75748502994011979</v>
      </c>
      <c r="H17" s="6">
        <f t="shared" si="4"/>
        <v>24.790419161676645</v>
      </c>
      <c r="I17" s="6">
        <f t="shared" si="5"/>
        <v>26.922696743784368</v>
      </c>
      <c r="J17" s="6">
        <f t="shared" si="6"/>
        <v>26.920273859065009</v>
      </c>
      <c r="K17" s="6">
        <f t="shared" si="7"/>
        <v>-8.9994131806938518E-3</v>
      </c>
    </row>
    <row r="18" spans="2:15" x14ac:dyDescent="0.3">
      <c r="B18" s="3">
        <v>50</v>
      </c>
      <c r="C18" s="3">
        <v>0.90980000000000005</v>
      </c>
      <c r="D18" s="6">
        <f t="shared" si="0"/>
        <v>1.0869565217391304</v>
      </c>
      <c r="E18" s="6">
        <f t="shared" si="1"/>
        <v>2.7777777777777777</v>
      </c>
      <c r="F18" s="6">
        <f t="shared" si="2"/>
        <v>0.28125</v>
      </c>
      <c r="G18" s="6">
        <f t="shared" si="3"/>
        <v>0.71875</v>
      </c>
      <c r="H18" s="6">
        <f t="shared" si="4"/>
        <v>25.875</v>
      </c>
      <c r="I18" s="6">
        <f t="shared" si="5"/>
        <v>28.440316553088589</v>
      </c>
      <c r="J18" s="6">
        <f t="shared" si="6"/>
        <v>28.421624917602536</v>
      </c>
      <c r="K18" s="6">
        <f t="shared" si="7"/>
        <v>-6.5722318706131558E-2</v>
      </c>
    </row>
    <row r="19" spans="2:15" x14ac:dyDescent="0.3">
      <c r="B19" s="3">
        <v>55</v>
      </c>
      <c r="C19" s="3">
        <v>0.89849999999999997</v>
      </c>
      <c r="D19" s="6">
        <f t="shared" si="0"/>
        <v>1.1956521739130435</v>
      </c>
      <c r="E19" s="6">
        <f t="shared" si="1"/>
        <v>2.5</v>
      </c>
      <c r="F19" s="6">
        <f t="shared" si="2"/>
        <v>0.3235294117647059</v>
      </c>
      <c r="G19" s="6">
        <f t="shared" si="3"/>
        <v>0.67647058823529416</v>
      </c>
      <c r="H19" s="6">
        <f t="shared" si="4"/>
        <v>27.058823529411768</v>
      </c>
      <c r="I19" s="6">
        <f t="shared" si="5"/>
        <v>30.115552063897351</v>
      </c>
      <c r="J19" s="6">
        <f t="shared" si="6"/>
        <v>30.083332503053121</v>
      </c>
      <c r="K19" s="6">
        <f t="shared" si="7"/>
        <v>-0.10698645263373478</v>
      </c>
    </row>
    <row r="20" spans="2:15" x14ac:dyDescent="0.3">
      <c r="B20" s="3">
        <v>60</v>
      </c>
      <c r="C20" s="3">
        <v>0.88700000000000001</v>
      </c>
      <c r="D20" s="6">
        <f t="shared" si="0"/>
        <v>1.3043478260869565</v>
      </c>
      <c r="E20" s="6">
        <f t="shared" si="1"/>
        <v>2.2222222222222223</v>
      </c>
      <c r="F20" s="6">
        <f t="shared" si="2"/>
        <v>0.36986301369863012</v>
      </c>
      <c r="G20" s="6">
        <f t="shared" si="3"/>
        <v>0.63013698630136994</v>
      </c>
      <c r="H20" s="6">
        <f t="shared" si="4"/>
        <v>28.356164383561644</v>
      </c>
      <c r="I20" s="6">
        <f t="shared" si="5"/>
        <v>31.968618245278066</v>
      </c>
      <c r="J20" s="6">
        <f t="shared" si="6"/>
        <v>31.929628551194419</v>
      </c>
      <c r="K20" s="6">
        <f t="shared" si="7"/>
        <v>-0.12196240007778716</v>
      </c>
    </row>
    <row r="21" spans="2:15" x14ac:dyDescent="0.3">
      <c r="B21" s="3">
        <v>65</v>
      </c>
      <c r="C21" s="3">
        <v>0.87529999999999997</v>
      </c>
      <c r="D21" s="6">
        <f t="shared" si="0"/>
        <v>1.4130434782608696</v>
      </c>
      <c r="E21" s="6">
        <f t="shared" si="1"/>
        <v>1.9444444444444444</v>
      </c>
      <c r="F21" s="6">
        <f t="shared" si="2"/>
        <v>0.42086330935251803</v>
      </c>
      <c r="G21" s="6">
        <f t="shared" si="3"/>
        <v>0.57913669064748197</v>
      </c>
      <c r="H21" s="6">
        <f t="shared" si="4"/>
        <v>29.784172661870507</v>
      </c>
      <c r="I21" s="6">
        <f t="shared" si="5"/>
        <v>34.027387937701938</v>
      </c>
      <c r="J21" s="6">
        <f t="shared" si="6"/>
        <v>33.989362775215881</v>
      </c>
      <c r="K21" s="6">
        <f t="shared" si="7"/>
        <v>-0.11174869653725689</v>
      </c>
    </row>
    <row r="22" spans="2:15" x14ac:dyDescent="0.3">
      <c r="B22" s="3">
        <v>70</v>
      </c>
      <c r="C22" s="3">
        <v>0.86339999999999995</v>
      </c>
      <c r="D22" s="6">
        <f t="shared" si="0"/>
        <v>1.5217391304347827</v>
      </c>
      <c r="E22" s="6">
        <f t="shared" si="1"/>
        <v>1.6666666666666667</v>
      </c>
      <c r="F22" s="6">
        <f t="shared" si="2"/>
        <v>0.47727272727272729</v>
      </c>
      <c r="G22" s="6">
        <f t="shared" si="3"/>
        <v>0.52272727272727271</v>
      </c>
      <c r="H22" s="6">
        <f t="shared" si="4"/>
        <v>31.363636363636367</v>
      </c>
      <c r="I22" s="6">
        <f t="shared" si="5"/>
        <v>36.325731252763923</v>
      </c>
      <c r="J22" s="6">
        <f t="shared" si="6"/>
        <v>36.297003447830576</v>
      </c>
      <c r="K22" s="6">
        <f t="shared" si="7"/>
        <v>-7.9083899876511835E-2</v>
      </c>
    </row>
    <row r="23" spans="2:15" x14ac:dyDescent="0.3">
      <c r="B23" s="3">
        <v>75</v>
      </c>
      <c r="C23" s="3">
        <v>0.85129999999999995</v>
      </c>
      <c r="D23" s="6">
        <f t="shared" si="0"/>
        <v>1.6304347826086956</v>
      </c>
      <c r="E23" s="6">
        <f t="shared" si="1"/>
        <v>1.3888888888888888</v>
      </c>
      <c r="F23" s="6">
        <f t="shared" si="2"/>
        <v>0.53999999999999992</v>
      </c>
      <c r="G23" s="6">
        <f t="shared" si="3"/>
        <v>0.46000000000000008</v>
      </c>
      <c r="H23" s="6">
        <f t="shared" si="4"/>
        <v>33.119999999999997</v>
      </c>
      <c r="I23" s="6">
        <f t="shared" si="5"/>
        <v>38.905203805943849</v>
      </c>
      <c r="J23" s="6">
        <f t="shared" si="6"/>
        <v>38.893838872799996</v>
      </c>
      <c r="K23" s="6">
        <f t="shared" si="7"/>
        <v>-2.9211858651453797E-2</v>
      </c>
    </row>
    <row r="24" spans="2:15" x14ac:dyDescent="0.3">
      <c r="B24" s="3">
        <v>80</v>
      </c>
      <c r="C24" s="3">
        <v>0.83909999999999996</v>
      </c>
      <c r="D24" s="6">
        <f t="shared" si="0"/>
        <v>1.7391304347826086</v>
      </c>
      <c r="E24" s="6">
        <f t="shared" si="1"/>
        <v>1.1111111111111112</v>
      </c>
      <c r="F24" s="6">
        <f t="shared" si="2"/>
        <v>0.61016949152542366</v>
      </c>
      <c r="G24" s="6">
        <f t="shared" si="3"/>
        <v>0.38983050847457634</v>
      </c>
      <c r="H24" s="6">
        <f t="shared" si="4"/>
        <v>35.084745762711862</v>
      </c>
      <c r="I24" s="6">
        <f t="shared" si="5"/>
        <v>41.812353429521941</v>
      </c>
      <c r="J24" s="6">
        <f t="shared" si="6"/>
        <v>41.829377045364907</v>
      </c>
      <c r="K24" s="6">
        <f t="shared" si="7"/>
        <v>4.0714321119619895E-2</v>
      </c>
    </row>
    <row r="25" spans="2:15" x14ac:dyDescent="0.3">
      <c r="B25" s="3">
        <v>85</v>
      </c>
      <c r="C25" s="3">
        <v>0.8266</v>
      </c>
      <c r="D25" s="6">
        <f t="shared" si="0"/>
        <v>1.8478260869565217</v>
      </c>
      <c r="E25" s="6">
        <f t="shared" si="1"/>
        <v>0.83333333333333337</v>
      </c>
      <c r="F25" s="6">
        <f t="shared" si="2"/>
        <v>0.68918918918918926</v>
      </c>
      <c r="G25" s="6">
        <f t="shared" si="3"/>
        <v>0.31081081081081074</v>
      </c>
      <c r="H25" s="6">
        <f t="shared" si="4"/>
        <v>37.297297297297298</v>
      </c>
      <c r="I25" s="6">
        <f t="shared" si="5"/>
        <v>45.121337161017784</v>
      </c>
      <c r="J25" s="6">
        <f t="shared" si="6"/>
        <v>45.162878765078084</v>
      </c>
      <c r="K25" s="6">
        <f t="shared" si="7"/>
        <v>9.2066429485579832E-2</v>
      </c>
    </row>
    <row r="26" spans="2:15" x14ac:dyDescent="0.3">
      <c r="B26" s="3">
        <v>90</v>
      </c>
      <c r="C26" s="3">
        <v>0.81359999999999999</v>
      </c>
      <c r="D26" s="6">
        <f t="shared" si="0"/>
        <v>1.9565217391304348</v>
      </c>
      <c r="E26" s="6">
        <f t="shared" si="1"/>
        <v>0.55555555555555558</v>
      </c>
      <c r="F26" s="6">
        <f t="shared" si="2"/>
        <v>0.77884615384615385</v>
      </c>
      <c r="G26" s="6">
        <f t="shared" si="3"/>
        <v>0.22115384615384615</v>
      </c>
      <c r="H26" s="6">
        <f t="shared" si="4"/>
        <v>39.807692307692314</v>
      </c>
      <c r="I26" s="6">
        <f t="shared" si="5"/>
        <v>48.927842069434995</v>
      </c>
      <c r="J26" s="6">
        <f t="shared" si="6"/>
        <v>48.964809797184373</v>
      </c>
      <c r="K26" s="6">
        <f t="shared" si="7"/>
        <v>7.5555606349684931E-2</v>
      </c>
      <c r="N26" t="s">
        <v>15</v>
      </c>
      <c r="O26" t="s">
        <v>16</v>
      </c>
    </row>
    <row r="27" spans="2:15" x14ac:dyDescent="0.3">
      <c r="B27" s="3">
        <v>95</v>
      </c>
      <c r="C27" s="3">
        <v>0.79990000000000006</v>
      </c>
      <c r="D27" s="6">
        <f t="shared" si="0"/>
        <v>2.0652173913043477</v>
      </c>
      <c r="E27" s="6">
        <f t="shared" si="1"/>
        <v>0.27777777777777779</v>
      </c>
      <c r="F27" s="6">
        <f t="shared" si="2"/>
        <v>0.88144329896907214</v>
      </c>
      <c r="G27" s="6">
        <f t="shared" si="3"/>
        <v>0.11855670103092786</v>
      </c>
      <c r="H27" s="6">
        <f t="shared" si="4"/>
        <v>42.680412371134025</v>
      </c>
      <c r="I27" s="6">
        <f t="shared" si="5"/>
        <v>53.357185112056534</v>
      </c>
      <c r="J27" s="6">
        <f t="shared" si="6"/>
        <v>53.317650455954649</v>
      </c>
      <c r="K27" s="6">
        <f t="shared" si="7"/>
        <v>-7.4094343655606812E-2</v>
      </c>
      <c r="N27">
        <v>0</v>
      </c>
      <c r="O27" s="1">
        <f>I8</f>
        <v>18.039687312086588</v>
      </c>
    </row>
    <row r="28" spans="2:15" x14ac:dyDescent="0.3">
      <c r="B28" s="3">
        <v>100</v>
      </c>
      <c r="C28" s="3">
        <v>0.78510000000000002</v>
      </c>
      <c r="D28" s="6">
        <f t="shared" si="0"/>
        <v>2.1739130434782608</v>
      </c>
      <c r="E28" s="6">
        <f t="shared" si="1"/>
        <v>0</v>
      </c>
      <c r="F28" s="3">
        <f t="shared" si="2"/>
        <v>1</v>
      </c>
      <c r="G28" s="3">
        <f t="shared" si="3"/>
        <v>0</v>
      </c>
      <c r="H28" s="6">
        <f t="shared" si="4"/>
        <v>46</v>
      </c>
      <c r="I28" s="6">
        <f t="shared" si="5"/>
        <v>58.591262259584767</v>
      </c>
      <c r="J28" s="6">
        <f t="shared" si="6"/>
        <v>58.314700000000002</v>
      </c>
      <c r="K28" s="6">
        <f t="shared" si="7"/>
        <v>-0.47201963043477968</v>
      </c>
      <c r="N28">
        <v>1</v>
      </c>
      <c r="O28" s="1">
        <f>I28</f>
        <v>58.591262259584767</v>
      </c>
    </row>
  </sheetData>
  <mergeCells count="2">
    <mergeCell ref="D6:E6"/>
    <mergeCell ref="F6:G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35"/>
  <sheetViews>
    <sheetView tabSelected="1" topLeftCell="A9" workbookViewId="0">
      <selection activeCell="N28" sqref="N28"/>
    </sheetView>
  </sheetViews>
  <sheetFormatPr baseColWidth="10" defaultRowHeight="14.4" x14ac:dyDescent="0.3"/>
  <cols>
    <col min="1" max="1" width="5.109375" customWidth="1"/>
    <col min="2" max="2" width="8.109375" customWidth="1"/>
    <col min="3" max="3" width="11.44140625" customWidth="1"/>
    <col min="4" max="4" width="6.33203125" customWidth="1"/>
    <col min="5" max="5" width="6.6640625" customWidth="1"/>
    <col min="6" max="6" width="7.88671875" customWidth="1"/>
    <col min="7" max="7" width="8.44140625" customWidth="1"/>
    <col min="8" max="8" width="11.88671875" customWidth="1"/>
    <col min="9" max="9" width="10.44140625" customWidth="1"/>
    <col min="11" max="11" width="7.5546875" customWidth="1"/>
    <col min="12" max="12" width="3.6640625" customWidth="1"/>
  </cols>
  <sheetData>
    <row r="1" spans="2:15" x14ac:dyDescent="0.3">
      <c r="B1" t="s">
        <v>0</v>
      </c>
    </row>
    <row r="2" spans="2:15" x14ac:dyDescent="0.3">
      <c r="B2" t="s">
        <v>41</v>
      </c>
    </row>
    <row r="3" spans="2:15" x14ac:dyDescent="0.3">
      <c r="B3" t="s">
        <v>2</v>
      </c>
    </row>
    <row r="5" spans="2:15" x14ac:dyDescent="0.3">
      <c r="B5" t="s">
        <v>3</v>
      </c>
    </row>
    <row r="6" spans="2:15" ht="15.6" x14ac:dyDescent="0.35">
      <c r="B6" t="s">
        <v>5</v>
      </c>
    </row>
    <row r="7" spans="2:15" ht="15.6" x14ac:dyDescent="0.35">
      <c r="D7" s="3" t="s">
        <v>9</v>
      </c>
      <c r="E7" s="3">
        <v>98</v>
      </c>
    </row>
    <row r="8" spans="2:15" ht="16.2" thickBot="1" x14ac:dyDescent="0.4">
      <c r="D8" s="24" t="s">
        <v>7</v>
      </c>
      <c r="E8" s="24">
        <v>18</v>
      </c>
    </row>
    <row r="9" spans="2:15" ht="15" thickBot="1" x14ac:dyDescent="0.35">
      <c r="B9" s="25"/>
      <c r="C9" s="26"/>
      <c r="D9" s="63" t="s">
        <v>6</v>
      </c>
      <c r="E9" s="63"/>
      <c r="F9" s="64" t="s">
        <v>10</v>
      </c>
      <c r="G9" s="65"/>
      <c r="H9" s="27" t="s">
        <v>11</v>
      </c>
      <c r="I9" s="41" t="s">
        <v>50</v>
      </c>
      <c r="J9" s="42" t="s">
        <v>47</v>
      </c>
    </row>
    <row r="10" spans="2:15" ht="16.2" thickBot="1" x14ac:dyDescent="0.4">
      <c r="B10" s="28" t="s">
        <v>63</v>
      </c>
      <c r="C10" s="29" t="s">
        <v>4</v>
      </c>
      <c r="D10" s="29" t="s">
        <v>8</v>
      </c>
      <c r="E10" s="29" t="s">
        <v>7</v>
      </c>
      <c r="F10" s="29" t="s">
        <v>8</v>
      </c>
      <c r="G10" s="29" t="s">
        <v>7</v>
      </c>
      <c r="H10" s="30" t="s">
        <v>12</v>
      </c>
      <c r="I10" s="29" t="s">
        <v>14</v>
      </c>
      <c r="J10" s="31" t="s">
        <v>14</v>
      </c>
      <c r="K10" s="20" t="s">
        <v>40</v>
      </c>
      <c r="L10" s="11"/>
      <c r="M10" s="56" t="s">
        <v>52</v>
      </c>
      <c r="N10" s="57">
        <f>4500*3</f>
        <v>13500</v>
      </c>
      <c r="O10" s="58" t="s">
        <v>21</v>
      </c>
    </row>
    <row r="11" spans="2:15" ht="15" thickBot="1" x14ac:dyDescent="0.35">
      <c r="B11" s="32">
        <v>0</v>
      </c>
      <c r="C11" s="27">
        <v>0.99819999999999998</v>
      </c>
      <c r="D11" s="33">
        <f>B11/$E$7</f>
        <v>0</v>
      </c>
      <c r="E11" s="33">
        <f>(100-B11)/$E$8</f>
        <v>5.5555555555555554</v>
      </c>
      <c r="F11" s="27">
        <f>D11/(D11+E11)</f>
        <v>0</v>
      </c>
      <c r="G11" s="27">
        <f>1-F11</f>
        <v>1</v>
      </c>
      <c r="H11" s="33">
        <f>F11*$E$7+G11*$E$8</f>
        <v>18</v>
      </c>
      <c r="I11" s="34">
        <f>H11/C11</f>
        <v>18.032458425165299</v>
      </c>
      <c r="J11" s="35">
        <f>-2.4368*F11^3+15.466*F11^2+22.603*F11+17.913</f>
        <v>17.913</v>
      </c>
      <c r="K11" s="1">
        <f>(J11-I11)*100/I11</f>
        <v>-0.66246333333333784</v>
      </c>
      <c r="M11" s="12" t="s">
        <v>18</v>
      </c>
      <c r="N11" s="43">
        <v>1.2599</v>
      </c>
      <c r="O11" s="14" t="s">
        <v>19</v>
      </c>
    </row>
    <row r="12" spans="2:15" ht="15" thickBot="1" x14ac:dyDescent="0.35">
      <c r="B12" s="36">
        <v>5</v>
      </c>
      <c r="C12" s="3">
        <v>1.0317000000000001</v>
      </c>
      <c r="D12" s="6">
        <f t="shared" ref="D12:D31" si="0">B12/$E$7</f>
        <v>5.1020408163265307E-2</v>
      </c>
      <c r="E12" s="6">
        <f t="shared" ref="E12:E31" si="1">(100-B12)/$E$8</f>
        <v>5.2777777777777777</v>
      </c>
      <c r="F12" s="6">
        <f t="shared" ref="F12:F31" si="2">D12/(D12+E12)</f>
        <v>9.5744680851063829E-3</v>
      </c>
      <c r="G12" s="6">
        <f t="shared" ref="G12:G31" si="3">1-F12</f>
        <v>0.99042553191489358</v>
      </c>
      <c r="H12" s="6">
        <f t="shared" ref="H12:H31" si="4">F12*$E$7+G12*$E$8</f>
        <v>18.76595744680851</v>
      </c>
      <c r="I12" s="5">
        <f t="shared" ref="I12:I31" si="5">H12/C12</f>
        <v>18.18935489658671</v>
      </c>
      <c r="J12" s="37">
        <f t="shared" ref="J12:J31" si="6">-2.4368*F12^3+15.466*F12^2+22.603*F12+17.913</f>
        <v>18.130827338370111</v>
      </c>
      <c r="K12" s="1">
        <f t="shared" ref="K12:K31" si="7">(J12-I12)*100/I12</f>
        <v>-0.32176819106202997</v>
      </c>
      <c r="M12" s="12" t="s">
        <v>20</v>
      </c>
      <c r="N12" s="43">
        <v>0.09</v>
      </c>
      <c r="O12" s="14"/>
    </row>
    <row r="13" spans="2:15" ht="15" thickBot="1" x14ac:dyDescent="0.35">
      <c r="B13" s="36">
        <v>10</v>
      </c>
      <c r="C13" s="3">
        <v>1.0661</v>
      </c>
      <c r="D13" s="6">
        <f t="shared" si="0"/>
        <v>0.10204081632653061</v>
      </c>
      <c r="E13" s="6">
        <f t="shared" si="1"/>
        <v>5</v>
      </c>
      <c r="F13" s="6">
        <f t="shared" si="2"/>
        <v>0.02</v>
      </c>
      <c r="G13" s="6">
        <f t="shared" si="3"/>
        <v>0.98</v>
      </c>
      <c r="H13" s="6">
        <f t="shared" si="4"/>
        <v>19.600000000000001</v>
      </c>
      <c r="I13" s="5">
        <f t="shared" si="5"/>
        <v>18.384766907419568</v>
      </c>
      <c r="J13" s="37">
        <f t="shared" si="6"/>
        <v>18.3712269056</v>
      </c>
      <c r="K13" s="1">
        <f t="shared" si="7"/>
        <v>-7.3647938468576035E-2</v>
      </c>
    </row>
    <row r="14" spans="2:15" ht="15" thickBot="1" x14ac:dyDescent="0.35">
      <c r="B14" s="36">
        <v>15</v>
      </c>
      <c r="C14" s="4">
        <v>1.1020000000000001</v>
      </c>
      <c r="D14" s="6">
        <f t="shared" si="0"/>
        <v>0.15306122448979592</v>
      </c>
      <c r="E14" s="6">
        <f t="shared" si="1"/>
        <v>4.7222222222222223</v>
      </c>
      <c r="F14" s="6">
        <f t="shared" si="2"/>
        <v>3.1395348837209305E-2</v>
      </c>
      <c r="G14" s="6">
        <f t="shared" si="3"/>
        <v>0.96860465116279071</v>
      </c>
      <c r="H14" s="6">
        <f t="shared" si="4"/>
        <v>20.511627906976745</v>
      </c>
      <c r="I14" s="5">
        <f t="shared" si="5"/>
        <v>18.613092474570546</v>
      </c>
      <c r="J14" s="37">
        <f t="shared" si="6"/>
        <v>18.637798002228735</v>
      </c>
      <c r="K14" s="1">
        <f t="shared" si="7"/>
        <v>0.13273198793774463</v>
      </c>
      <c r="M14" s="12" t="s">
        <v>39</v>
      </c>
      <c r="N14" s="44">
        <f>-2.4368*N12^3+15.466*N12^2+22.603*N12+17.913</f>
        <v>20.070768172800001</v>
      </c>
      <c r="O14" s="14" t="s">
        <v>14</v>
      </c>
    </row>
    <row r="15" spans="2:15" ht="15" thickBot="1" x14ac:dyDescent="0.35">
      <c r="B15" s="36">
        <v>20</v>
      </c>
      <c r="C15" s="3">
        <v>1.1394</v>
      </c>
      <c r="D15" s="6">
        <f t="shared" si="0"/>
        <v>0.20408163265306123</v>
      </c>
      <c r="E15" s="6">
        <f t="shared" si="1"/>
        <v>4.4444444444444446</v>
      </c>
      <c r="F15" s="6">
        <f t="shared" si="2"/>
        <v>4.3902439024390248E-2</v>
      </c>
      <c r="G15" s="6">
        <f t="shared" si="3"/>
        <v>0.95609756097560972</v>
      </c>
      <c r="H15" s="6">
        <f t="shared" si="4"/>
        <v>21.512195121951223</v>
      </c>
      <c r="I15" s="5">
        <f t="shared" si="5"/>
        <v>18.880283589565757</v>
      </c>
      <c r="J15" s="37">
        <f t="shared" si="6"/>
        <v>18.934930172551184</v>
      </c>
      <c r="K15" s="1">
        <f t="shared" si="7"/>
        <v>0.28943729963689535</v>
      </c>
    </row>
    <row r="16" spans="2:15" ht="15" thickBot="1" x14ac:dyDescent="0.35">
      <c r="B16" s="36">
        <v>25</v>
      </c>
      <c r="C16" s="3">
        <v>1.1782999999999999</v>
      </c>
      <c r="D16" s="6">
        <f t="shared" si="0"/>
        <v>0.25510204081632654</v>
      </c>
      <c r="E16" s="6">
        <f t="shared" si="1"/>
        <v>4.166666666666667</v>
      </c>
      <c r="F16" s="6">
        <f t="shared" si="2"/>
        <v>5.7692307692307696E-2</v>
      </c>
      <c r="G16" s="6">
        <f t="shared" si="3"/>
        <v>0.94230769230769229</v>
      </c>
      <c r="H16" s="6">
        <f t="shared" si="4"/>
        <v>22.615384615384613</v>
      </c>
      <c r="I16" s="5">
        <f t="shared" si="5"/>
        <v>19.193231448175009</v>
      </c>
      <c r="J16" s="37">
        <f t="shared" si="6"/>
        <v>19.268028379608559</v>
      </c>
      <c r="K16" s="1">
        <f t="shared" si="7"/>
        <v>0.38970473333536548</v>
      </c>
      <c r="M16" s="12" t="s">
        <v>22</v>
      </c>
      <c r="N16" s="19">
        <f>N10*1000/N14</f>
        <v>672619.99559614575</v>
      </c>
      <c r="O16" s="14" t="s">
        <v>6</v>
      </c>
    </row>
    <row r="17" spans="2:15" ht="15" thickBot="1" x14ac:dyDescent="0.35">
      <c r="B17" s="36">
        <v>30</v>
      </c>
      <c r="C17" s="3">
        <v>1.2184999999999999</v>
      </c>
      <c r="D17" s="6">
        <f t="shared" si="0"/>
        <v>0.30612244897959184</v>
      </c>
      <c r="E17" s="6">
        <f t="shared" si="1"/>
        <v>3.8888888888888888</v>
      </c>
      <c r="F17" s="6">
        <f t="shared" si="2"/>
        <v>7.2972972972972977E-2</v>
      </c>
      <c r="G17" s="6">
        <f t="shared" si="3"/>
        <v>0.927027027027027</v>
      </c>
      <c r="H17" s="6">
        <f t="shared" si="4"/>
        <v>23.837837837837839</v>
      </c>
      <c r="I17" s="5">
        <f t="shared" si="5"/>
        <v>19.563264536592399</v>
      </c>
      <c r="J17" s="37">
        <f t="shared" si="6"/>
        <v>19.643818501285217</v>
      </c>
      <c r="K17" s="1">
        <f t="shared" si="7"/>
        <v>0.41176136294709303</v>
      </c>
      <c r="M17" s="12" t="s">
        <v>24</v>
      </c>
      <c r="N17" s="19">
        <f>N16*F18</f>
        <v>60535.799603653111</v>
      </c>
      <c r="O17" s="14"/>
    </row>
    <row r="18" spans="2:15" ht="15" thickBot="1" x14ac:dyDescent="0.35">
      <c r="B18" s="36">
        <v>35</v>
      </c>
      <c r="C18" s="3">
        <v>1.2599</v>
      </c>
      <c r="D18" s="6">
        <f t="shared" si="0"/>
        <v>0.35714285714285715</v>
      </c>
      <c r="E18" s="6">
        <f t="shared" si="1"/>
        <v>3.6111111111111112</v>
      </c>
      <c r="F18" s="6">
        <f t="shared" si="2"/>
        <v>0.09</v>
      </c>
      <c r="G18" s="6">
        <f t="shared" si="3"/>
        <v>0.91</v>
      </c>
      <c r="H18" s="6">
        <f t="shared" si="4"/>
        <v>25.2</v>
      </c>
      <c r="I18" s="5">
        <f t="shared" si="5"/>
        <v>20.001587427573615</v>
      </c>
      <c r="J18" s="37">
        <f t="shared" si="6"/>
        <v>20.070768172800001</v>
      </c>
      <c r="K18" s="1">
        <f t="shared" si="7"/>
        <v>0.34587627345525601</v>
      </c>
      <c r="M18" s="12" t="s">
        <v>23</v>
      </c>
      <c r="N18" s="19">
        <f>N16*G18</f>
        <v>612084.19599249261</v>
      </c>
      <c r="O18" s="14"/>
    </row>
    <row r="19" spans="2:15" ht="15" thickBot="1" x14ac:dyDescent="0.35">
      <c r="B19" s="36">
        <v>40</v>
      </c>
      <c r="C19" s="3">
        <v>1.3028</v>
      </c>
      <c r="D19" s="6">
        <f t="shared" si="0"/>
        <v>0.40816326530612246</v>
      </c>
      <c r="E19" s="6">
        <f t="shared" si="1"/>
        <v>3.3333333333333335</v>
      </c>
      <c r="F19" s="6">
        <f t="shared" si="2"/>
        <v>0.10909090909090909</v>
      </c>
      <c r="G19" s="6">
        <f t="shared" si="3"/>
        <v>0.89090909090909087</v>
      </c>
      <c r="H19" s="6">
        <f t="shared" si="4"/>
        <v>26.727272727272727</v>
      </c>
      <c r="I19" s="5">
        <f t="shared" si="5"/>
        <v>20.515253858821559</v>
      </c>
      <c r="J19" s="37">
        <f t="shared" si="6"/>
        <v>20.559676370848987</v>
      </c>
      <c r="K19" s="1">
        <f t="shared" si="7"/>
        <v>0.21653405964716274</v>
      </c>
      <c r="N19" s="8"/>
    </row>
    <row r="20" spans="2:15" ht="15" thickBot="1" x14ac:dyDescent="0.35">
      <c r="B20" s="36">
        <v>45</v>
      </c>
      <c r="C20" s="3">
        <v>1.3475999999999999</v>
      </c>
      <c r="D20" s="6">
        <f t="shared" si="0"/>
        <v>0.45918367346938777</v>
      </c>
      <c r="E20" s="6">
        <f t="shared" si="1"/>
        <v>3.0555555555555554</v>
      </c>
      <c r="F20" s="6">
        <f t="shared" si="2"/>
        <v>0.13064516129032258</v>
      </c>
      <c r="G20" s="6">
        <f t="shared" si="3"/>
        <v>0.86935483870967745</v>
      </c>
      <c r="H20" s="6">
        <f t="shared" si="4"/>
        <v>28.451612903225808</v>
      </c>
      <c r="I20" s="5">
        <f t="shared" si="5"/>
        <v>21.112802688650795</v>
      </c>
      <c r="J20" s="37">
        <f t="shared" si="6"/>
        <v>21.124514962116077</v>
      </c>
      <c r="K20" s="1">
        <f t="shared" si="7"/>
        <v>5.547474505399342E-2</v>
      </c>
      <c r="M20" s="46" t="s">
        <v>25</v>
      </c>
      <c r="N20" s="47">
        <f>N17*I31/1000</f>
        <v>3240.9223497175662</v>
      </c>
      <c r="O20" s="48" t="s">
        <v>21</v>
      </c>
    </row>
    <row r="21" spans="2:15" ht="15" thickBot="1" x14ac:dyDescent="0.35">
      <c r="B21" s="36">
        <v>50</v>
      </c>
      <c r="C21" s="3">
        <v>1.3951</v>
      </c>
      <c r="D21" s="6">
        <f t="shared" si="0"/>
        <v>0.51020408163265307</v>
      </c>
      <c r="E21" s="6">
        <f t="shared" si="1"/>
        <v>2.7777777777777777</v>
      </c>
      <c r="F21" s="6">
        <f t="shared" si="2"/>
        <v>0.15517241379310345</v>
      </c>
      <c r="G21" s="6">
        <f t="shared" si="3"/>
        <v>0.84482758620689657</v>
      </c>
      <c r="H21" s="6">
        <f t="shared" si="4"/>
        <v>30.413793103448278</v>
      </c>
      <c r="I21" s="5">
        <f t="shared" si="5"/>
        <v>21.800439469176602</v>
      </c>
      <c r="J21" s="37">
        <f t="shared" si="6"/>
        <v>21.783655156012959</v>
      </c>
      <c r="K21" s="1">
        <f t="shared" si="7"/>
        <v>-7.6990710152311237E-2</v>
      </c>
      <c r="M21" s="49" t="s">
        <v>26</v>
      </c>
      <c r="N21" s="45">
        <f>N18*I11/1000</f>
        <v>11037.382816935351</v>
      </c>
      <c r="O21" s="50" t="s">
        <v>21</v>
      </c>
    </row>
    <row r="22" spans="2:15" ht="15" thickBot="1" x14ac:dyDescent="0.35">
      <c r="B22" s="36">
        <v>55</v>
      </c>
      <c r="C22" s="3">
        <v>1.4453</v>
      </c>
      <c r="D22" s="6">
        <f t="shared" si="0"/>
        <v>0.56122448979591832</v>
      </c>
      <c r="E22" s="6">
        <f t="shared" si="1"/>
        <v>2.5</v>
      </c>
      <c r="F22" s="6">
        <f t="shared" si="2"/>
        <v>0.18333333333333332</v>
      </c>
      <c r="G22" s="6">
        <f t="shared" si="3"/>
        <v>0.81666666666666665</v>
      </c>
      <c r="H22" s="6">
        <f t="shared" si="4"/>
        <v>32.666666666666664</v>
      </c>
      <c r="I22" s="5">
        <f t="shared" si="5"/>
        <v>22.60199727853502</v>
      </c>
      <c r="J22" s="37">
        <f t="shared" si="6"/>
        <v>22.561697125925924</v>
      </c>
      <c r="K22" s="1">
        <f t="shared" si="7"/>
        <v>-0.1783035017324251</v>
      </c>
      <c r="M22" s="51" t="s">
        <v>51</v>
      </c>
      <c r="N22" s="52">
        <f>N20+N21</f>
        <v>14278.305166652917</v>
      </c>
      <c r="O22" s="53" t="s">
        <v>21</v>
      </c>
    </row>
    <row r="23" spans="2:15" ht="15" thickBot="1" x14ac:dyDescent="0.35">
      <c r="B23" s="36">
        <v>60</v>
      </c>
      <c r="C23" s="3">
        <v>1.4983</v>
      </c>
      <c r="D23" s="6">
        <f t="shared" si="0"/>
        <v>0.61224489795918369</v>
      </c>
      <c r="E23" s="6">
        <f t="shared" si="1"/>
        <v>2.2222222222222223</v>
      </c>
      <c r="F23" s="6">
        <f t="shared" si="2"/>
        <v>0.21599999999999997</v>
      </c>
      <c r="G23" s="6">
        <f t="shared" si="3"/>
        <v>0.78400000000000003</v>
      </c>
      <c r="H23" s="6">
        <f t="shared" si="4"/>
        <v>35.279999999999994</v>
      </c>
      <c r="I23" s="5">
        <f t="shared" si="5"/>
        <v>23.546686244410328</v>
      </c>
      <c r="J23" s="37">
        <f t="shared" si="6"/>
        <v>23.492272366387198</v>
      </c>
      <c r="K23" s="1">
        <f t="shared" si="7"/>
        <v>-0.23108932381535072</v>
      </c>
    </row>
    <row r="24" spans="2:15" ht="15" thickBot="1" x14ac:dyDescent="0.35">
      <c r="B24" s="36">
        <v>65</v>
      </c>
      <c r="C24" s="3">
        <v>1.5532999999999999</v>
      </c>
      <c r="D24" s="6">
        <f t="shared" si="0"/>
        <v>0.66326530612244894</v>
      </c>
      <c r="E24" s="6">
        <f t="shared" si="1"/>
        <v>1.9444444444444444</v>
      </c>
      <c r="F24" s="6">
        <f t="shared" si="2"/>
        <v>0.2543478260869565</v>
      </c>
      <c r="G24" s="6">
        <f t="shared" si="3"/>
        <v>0.7456521739130435</v>
      </c>
      <c r="H24" s="6">
        <f t="shared" si="4"/>
        <v>38.347826086956516</v>
      </c>
      <c r="I24" s="5">
        <f t="shared" si="5"/>
        <v>24.687971471677407</v>
      </c>
      <c r="J24" s="37">
        <f t="shared" si="6"/>
        <v>24.622466744900141</v>
      </c>
      <c r="K24" s="1">
        <f t="shared" si="7"/>
        <v>-0.26533053496280601</v>
      </c>
      <c r="M24" s="12" t="s">
        <v>44</v>
      </c>
      <c r="N24" s="19">
        <f>N10-N22</f>
        <v>-778.30516665291725</v>
      </c>
      <c r="O24" s="14" t="s">
        <v>21</v>
      </c>
    </row>
    <row r="25" spans="2:15" ht="15" thickBot="1" x14ac:dyDescent="0.35">
      <c r="B25" s="36">
        <v>70</v>
      </c>
      <c r="C25" s="3">
        <v>1.6105</v>
      </c>
      <c r="D25" s="6">
        <f t="shared" si="0"/>
        <v>0.7142857142857143</v>
      </c>
      <c r="E25" s="6">
        <f t="shared" si="1"/>
        <v>1.6666666666666667</v>
      </c>
      <c r="F25" s="6">
        <f t="shared" si="2"/>
        <v>0.3</v>
      </c>
      <c r="G25" s="6">
        <f t="shared" si="3"/>
        <v>0.7</v>
      </c>
      <c r="H25" s="6">
        <f t="shared" si="4"/>
        <v>42</v>
      </c>
      <c r="I25" s="5">
        <f t="shared" si="5"/>
        <v>26.078857497671528</v>
      </c>
      <c r="J25" s="37">
        <f t="shared" si="6"/>
        <v>26.020046399999998</v>
      </c>
      <c r="K25" s="1">
        <f t="shared" si="7"/>
        <v>-0.22551255428571179</v>
      </c>
    </row>
    <row r="26" spans="2:15" ht="15" thickBot="1" x14ac:dyDescent="0.35">
      <c r="B26" s="36">
        <v>75</v>
      </c>
      <c r="C26" s="3">
        <v>1.6692</v>
      </c>
      <c r="D26" s="6">
        <f t="shared" si="0"/>
        <v>0.76530612244897955</v>
      </c>
      <c r="E26" s="6">
        <f t="shared" si="1"/>
        <v>1.3888888888888888</v>
      </c>
      <c r="F26" s="6">
        <f t="shared" si="2"/>
        <v>0.35526315789473684</v>
      </c>
      <c r="G26" s="6">
        <f t="shared" si="3"/>
        <v>0.64473684210526316</v>
      </c>
      <c r="H26" s="6">
        <f t="shared" si="4"/>
        <v>46.421052631578945</v>
      </c>
      <c r="I26" s="5">
        <f t="shared" si="5"/>
        <v>27.810359832002721</v>
      </c>
      <c r="J26" s="37">
        <f t="shared" si="6"/>
        <v>27.785744263012102</v>
      </c>
      <c r="K26" s="1">
        <f t="shared" si="7"/>
        <v>-8.851222759905672E-2</v>
      </c>
      <c r="M26" s="23" t="s">
        <v>48</v>
      </c>
      <c r="N26" s="22">
        <f>N24/3</f>
        <v>-259.43505555097244</v>
      </c>
      <c r="O26" s="14" t="s">
        <v>49</v>
      </c>
    </row>
    <row r="27" spans="2:15" x14ac:dyDescent="0.3">
      <c r="B27" s="36">
        <v>80</v>
      </c>
      <c r="C27" s="3">
        <v>1.7272000000000001</v>
      </c>
      <c r="D27" s="6">
        <f t="shared" si="0"/>
        <v>0.81632653061224492</v>
      </c>
      <c r="E27" s="6">
        <f t="shared" si="1"/>
        <v>1.1111111111111112</v>
      </c>
      <c r="F27" s="6">
        <f t="shared" si="2"/>
        <v>0.42352941176470588</v>
      </c>
      <c r="G27" s="6">
        <f t="shared" si="3"/>
        <v>0.57647058823529407</v>
      </c>
      <c r="H27" s="6">
        <f t="shared" si="4"/>
        <v>51.882352941176471</v>
      </c>
      <c r="I27" s="5">
        <f t="shared" si="5"/>
        <v>30.038416478217037</v>
      </c>
      <c r="J27" s="37">
        <f t="shared" si="6"/>
        <v>30.075155129981681</v>
      </c>
      <c r="K27" s="1">
        <f t="shared" si="7"/>
        <v>0.12230555426011062</v>
      </c>
    </row>
    <row r="28" spans="2:15" x14ac:dyDescent="0.3">
      <c r="B28" s="36">
        <v>85</v>
      </c>
      <c r="C28" s="3">
        <v>1.7786</v>
      </c>
      <c r="D28" s="6">
        <f t="shared" si="0"/>
        <v>0.86734693877551017</v>
      </c>
      <c r="E28" s="6">
        <f t="shared" si="1"/>
        <v>0.83333333333333337</v>
      </c>
      <c r="F28" s="6">
        <f t="shared" si="2"/>
        <v>0.5099999999999999</v>
      </c>
      <c r="G28" s="6">
        <f t="shared" si="3"/>
        <v>0.4900000000000001</v>
      </c>
      <c r="H28" s="6">
        <f t="shared" si="4"/>
        <v>58.79999999999999</v>
      </c>
      <c r="I28" s="5">
        <f t="shared" si="5"/>
        <v>33.059709884178559</v>
      </c>
      <c r="J28" s="37">
        <f t="shared" si="6"/>
        <v>33.139992643199996</v>
      </c>
      <c r="K28" s="1">
        <f t="shared" si="7"/>
        <v>0.24284169250939916</v>
      </c>
      <c r="M28" t="s">
        <v>53</v>
      </c>
      <c r="N28" s="8">
        <f>N22/3</f>
        <v>4759.4350555509727</v>
      </c>
    </row>
    <row r="29" spans="2:15" x14ac:dyDescent="0.3">
      <c r="B29" s="36">
        <v>90</v>
      </c>
      <c r="C29" s="3">
        <v>1.8144</v>
      </c>
      <c r="D29" s="6">
        <f t="shared" si="0"/>
        <v>0.91836734693877553</v>
      </c>
      <c r="E29" s="6">
        <f t="shared" si="1"/>
        <v>0.55555555555555558</v>
      </c>
      <c r="F29" s="6">
        <f t="shared" si="2"/>
        <v>0.62307692307692297</v>
      </c>
      <c r="G29" s="6">
        <f t="shared" si="3"/>
        <v>0.37692307692307703</v>
      </c>
      <c r="H29" s="6">
        <f t="shared" si="4"/>
        <v>67.84615384615384</v>
      </c>
      <c r="I29" s="5">
        <f t="shared" si="5"/>
        <v>37.393162393162392</v>
      </c>
      <c r="J29" s="37">
        <f t="shared" si="6"/>
        <v>37.41124608611743</v>
      </c>
      <c r="K29" s="1">
        <f t="shared" si="7"/>
        <v>4.8360961731187577E-2</v>
      </c>
    </row>
    <row r="30" spans="2:15" x14ac:dyDescent="0.3">
      <c r="B30" s="36">
        <v>95</v>
      </c>
      <c r="C30" s="3">
        <v>1.8337000000000001</v>
      </c>
      <c r="D30" s="6">
        <f t="shared" si="0"/>
        <v>0.96938775510204078</v>
      </c>
      <c r="E30" s="6">
        <f t="shared" si="1"/>
        <v>0.27777777777777779</v>
      </c>
      <c r="F30" s="6">
        <f t="shared" si="2"/>
        <v>0.77727272727272723</v>
      </c>
      <c r="G30" s="6">
        <f t="shared" si="3"/>
        <v>0.22272727272727277</v>
      </c>
      <c r="H30" s="6">
        <f t="shared" si="4"/>
        <v>80.181818181818187</v>
      </c>
      <c r="I30" s="5">
        <f t="shared" si="5"/>
        <v>43.726791831716305</v>
      </c>
      <c r="J30" s="37">
        <f t="shared" si="6"/>
        <v>43.681223361682939</v>
      </c>
      <c r="K30" s="1">
        <f t="shared" si="7"/>
        <v>-0.10421178441065999</v>
      </c>
    </row>
    <row r="31" spans="2:15" ht="15" thickBot="1" x14ac:dyDescent="0.35">
      <c r="B31" s="28">
        <v>100</v>
      </c>
      <c r="C31" s="29">
        <v>1.8305</v>
      </c>
      <c r="D31" s="38">
        <f t="shared" si="0"/>
        <v>1.0204081632653061</v>
      </c>
      <c r="E31" s="38">
        <f t="shared" si="1"/>
        <v>0</v>
      </c>
      <c r="F31" s="29">
        <f t="shared" si="2"/>
        <v>1</v>
      </c>
      <c r="G31" s="29">
        <f t="shared" si="3"/>
        <v>0</v>
      </c>
      <c r="H31" s="38">
        <f t="shared" si="4"/>
        <v>98</v>
      </c>
      <c r="I31" s="39">
        <f t="shared" si="5"/>
        <v>53.537284894837477</v>
      </c>
      <c r="J31" s="40">
        <f t="shared" si="6"/>
        <v>53.545199999999994</v>
      </c>
      <c r="K31" s="1">
        <f t="shared" si="7"/>
        <v>1.4784285714273716E-2</v>
      </c>
    </row>
    <row r="33" spans="6:7" x14ac:dyDescent="0.3">
      <c r="F33" t="s">
        <v>15</v>
      </c>
      <c r="G33" t="s">
        <v>16</v>
      </c>
    </row>
    <row r="34" spans="6:7" x14ac:dyDescent="0.3">
      <c r="F34">
        <v>0</v>
      </c>
      <c r="G34" s="2">
        <f>I11</f>
        <v>18.032458425165299</v>
      </c>
    </row>
    <row r="35" spans="6:7" x14ac:dyDescent="0.3">
      <c r="F35">
        <v>1</v>
      </c>
      <c r="G35" s="2">
        <f>I31</f>
        <v>53.537284894837477</v>
      </c>
    </row>
  </sheetData>
  <mergeCells count="2">
    <mergeCell ref="D9:E9"/>
    <mergeCell ref="F9:G9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P32"/>
  <sheetViews>
    <sheetView workbookViewId="0">
      <selection activeCell="G7" sqref="G7"/>
    </sheetView>
  </sheetViews>
  <sheetFormatPr baseColWidth="10" defaultRowHeight="14.4" x14ac:dyDescent="0.3"/>
  <sheetData>
    <row r="2" spans="2:16" x14ac:dyDescent="0.3">
      <c r="B2" t="s">
        <v>0</v>
      </c>
    </row>
    <row r="3" spans="2:16" x14ac:dyDescent="0.3">
      <c r="B3" t="s">
        <v>41</v>
      </c>
    </row>
    <row r="4" spans="2:16" x14ac:dyDescent="0.3">
      <c r="B4" t="s">
        <v>2</v>
      </c>
    </row>
    <row r="6" spans="2:16" x14ac:dyDescent="0.3">
      <c r="B6" t="s">
        <v>3</v>
      </c>
    </row>
    <row r="7" spans="2:16" ht="15.6" x14ac:dyDescent="0.35">
      <c r="B7" t="s">
        <v>42</v>
      </c>
    </row>
    <row r="8" spans="2:16" ht="15.6" x14ac:dyDescent="0.35">
      <c r="D8" s="3" t="s">
        <v>43</v>
      </c>
      <c r="E8" s="3">
        <v>98</v>
      </c>
    </row>
    <row r="9" spans="2:16" ht="15.6" x14ac:dyDescent="0.35">
      <c r="D9" s="3" t="s">
        <v>7</v>
      </c>
      <c r="E9" s="3">
        <v>18</v>
      </c>
    </row>
    <row r="10" spans="2:16" ht="15" thickBot="1" x14ac:dyDescent="0.35">
      <c r="D10" s="60" t="s">
        <v>6</v>
      </c>
      <c r="E10" s="60"/>
      <c r="F10" s="61" t="s">
        <v>10</v>
      </c>
      <c r="G10" s="62"/>
      <c r="H10" s="3" t="s">
        <v>11</v>
      </c>
      <c r="I10" s="21" t="s">
        <v>46</v>
      </c>
      <c r="J10" s="21" t="s">
        <v>47</v>
      </c>
    </row>
    <row r="11" spans="2:16" ht="16.2" thickBot="1" x14ac:dyDescent="0.4">
      <c r="B11" s="3" t="s">
        <v>64</v>
      </c>
      <c r="C11" s="3" t="s">
        <v>4</v>
      </c>
      <c r="D11" s="3" t="s">
        <v>43</v>
      </c>
      <c r="E11" s="3" t="s">
        <v>7</v>
      </c>
      <c r="F11" s="3" t="s">
        <v>43</v>
      </c>
      <c r="G11" s="3" t="s">
        <v>7</v>
      </c>
      <c r="H11" s="7" t="s">
        <v>12</v>
      </c>
      <c r="I11" s="3" t="s">
        <v>14</v>
      </c>
      <c r="J11" s="3" t="s">
        <v>14</v>
      </c>
      <c r="K11" s="3" t="s">
        <v>40</v>
      </c>
      <c r="L11" s="20"/>
      <c r="M11" s="11"/>
      <c r="N11" s="12" t="s">
        <v>17</v>
      </c>
      <c r="O11" s="13">
        <v>1000</v>
      </c>
      <c r="P11" s="14" t="s">
        <v>21</v>
      </c>
    </row>
    <row r="12" spans="2:16" ht="15" thickBot="1" x14ac:dyDescent="0.35">
      <c r="B12" s="3">
        <v>0</v>
      </c>
      <c r="C12" s="3">
        <v>0.99819999999999998</v>
      </c>
      <c r="D12" s="6">
        <f>B12/$E$8</f>
        <v>0</v>
      </c>
      <c r="E12" s="6">
        <f>(100-B12)/$E$9</f>
        <v>5.5555555555555554</v>
      </c>
      <c r="F12" s="4">
        <f>D12/(D12+E12)</f>
        <v>0</v>
      </c>
      <c r="G12" s="4">
        <f>1-F12</f>
        <v>1</v>
      </c>
      <c r="H12" s="6">
        <f>F12*$E$8+G12*$E$9</f>
        <v>18</v>
      </c>
      <c r="I12" s="5">
        <f>H12/C12</f>
        <v>18.032458425165299</v>
      </c>
      <c r="J12" s="5">
        <f>3.8057*F12^2+30.62*F12+17.986</f>
        <v>17.986000000000001</v>
      </c>
      <c r="K12" s="6">
        <f>(J12-I12)*100/I12</f>
        <v>-0.25763777777778013</v>
      </c>
      <c r="L12" s="1"/>
      <c r="N12" s="12" t="s">
        <v>18</v>
      </c>
      <c r="O12" s="13">
        <v>1.2599</v>
      </c>
      <c r="P12" s="14" t="s">
        <v>19</v>
      </c>
    </row>
    <row r="13" spans="2:16" ht="15" thickBot="1" x14ac:dyDescent="0.35">
      <c r="B13" s="3">
        <v>2</v>
      </c>
      <c r="C13" s="3">
        <v>1.0092000000000001</v>
      </c>
      <c r="D13" s="6">
        <f t="shared" ref="D13:D21" si="0">B13/$E$8</f>
        <v>2.0408163265306121E-2</v>
      </c>
      <c r="E13" s="6">
        <f t="shared" ref="E13:E21" si="1">(100-B13)/$E$9</f>
        <v>5.4444444444444446</v>
      </c>
      <c r="F13" s="4">
        <f t="shared" ref="F13:F21" si="2">D13/(D13+E13)</f>
        <v>3.734439834024896E-3</v>
      </c>
      <c r="G13" s="4">
        <f t="shared" ref="G13:G21" si="3">1-F13</f>
        <v>0.99626556016597512</v>
      </c>
      <c r="H13" s="6">
        <f t="shared" ref="H13:H21" si="4">F13*$E$8+G13*$E$9</f>
        <v>18.298755186721991</v>
      </c>
      <c r="I13" s="5">
        <f t="shared" ref="I13:I21" si="5">H13/C13</f>
        <v>18.131941326518024</v>
      </c>
      <c r="J13" s="5">
        <f t="shared" ref="J13:J21" si="6">3.8057*F13^2+30.62*F13+17.986</f>
        <v>18.100401622165595</v>
      </c>
      <c r="K13" s="6">
        <f t="shared" ref="K13:K21" si="7">(J13-I13)*100/I13</f>
        <v>-0.17394554606407386</v>
      </c>
      <c r="L13" s="1"/>
      <c r="N13" s="15" t="s">
        <v>20</v>
      </c>
      <c r="O13" s="16">
        <v>0.09</v>
      </c>
      <c r="P13" s="17"/>
    </row>
    <row r="14" spans="2:16" ht="15" thickBot="1" x14ac:dyDescent="0.35">
      <c r="B14" s="3">
        <v>6</v>
      </c>
      <c r="C14" s="3">
        <v>1.0308999999999999</v>
      </c>
      <c r="D14" s="6">
        <f t="shared" si="0"/>
        <v>6.1224489795918366E-2</v>
      </c>
      <c r="E14" s="6">
        <f t="shared" si="1"/>
        <v>5.2222222222222223</v>
      </c>
      <c r="F14" s="4">
        <f t="shared" si="2"/>
        <v>1.1587982832618025E-2</v>
      </c>
      <c r="G14" s="4">
        <f t="shared" si="3"/>
        <v>0.98841201716738203</v>
      </c>
      <c r="H14" s="6">
        <f t="shared" si="4"/>
        <v>18.927038626609445</v>
      </c>
      <c r="I14" s="5">
        <f t="shared" si="5"/>
        <v>18.359723180337031</v>
      </c>
      <c r="J14" s="5">
        <f t="shared" si="6"/>
        <v>18.341335068853727</v>
      </c>
      <c r="K14" s="6">
        <f t="shared" si="7"/>
        <v>-0.10015462271782827</v>
      </c>
      <c r="L14" s="1"/>
    </row>
    <row r="15" spans="2:16" ht="15" thickBot="1" x14ac:dyDescent="0.35">
      <c r="B15" s="3">
        <v>14</v>
      </c>
      <c r="C15" s="4">
        <v>1.0764</v>
      </c>
      <c r="D15" s="6">
        <f t="shared" si="0"/>
        <v>0.14285714285714285</v>
      </c>
      <c r="E15" s="6">
        <f t="shared" si="1"/>
        <v>4.7777777777777777</v>
      </c>
      <c r="F15" s="4">
        <f t="shared" si="2"/>
        <v>2.9032258064516127E-2</v>
      </c>
      <c r="G15" s="4">
        <f t="shared" si="3"/>
        <v>0.97096774193548385</v>
      </c>
      <c r="H15" s="6">
        <f t="shared" si="4"/>
        <v>20.322580645161288</v>
      </c>
      <c r="I15" s="5">
        <f t="shared" si="5"/>
        <v>18.880138094724348</v>
      </c>
      <c r="J15" s="5">
        <f t="shared" si="6"/>
        <v>18.878175459937566</v>
      </c>
      <c r="K15" s="6">
        <f t="shared" si="7"/>
        <v>-1.0395235336390168E-2</v>
      </c>
      <c r="L15" s="1"/>
      <c r="N15" s="12" t="s">
        <v>39</v>
      </c>
      <c r="O15" s="18">
        <f>-3.8057*O13^2+30.52*O13+17.986</f>
        <v>20.70197383</v>
      </c>
      <c r="P15" s="14" t="s">
        <v>14</v>
      </c>
    </row>
    <row r="16" spans="2:16" ht="15" thickBot="1" x14ac:dyDescent="0.35">
      <c r="B16" s="3">
        <v>20</v>
      </c>
      <c r="C16" s="3">
        <v>1.1133999999999999</v>
      </c>
      <c r="D16" s="6">
        <f t="shared" si="0"/>
        <v>0.20408163265306123</v>
      </c>
      <c r="E16" s="6">
        <f t="shared" si="1"/>
        <v>4.4444444444444446</v>
      </c>
      <c r="F16" s="4">
        <f t="shared" si="2"/>
        <v>4.3902439024390248E-2</v>
      </c>
      <c r="G16" s="4">
        <f t="shared" si="3"/>
        <v>0.95609756097560972</v>
      </c>
      <c r="H16" s="6">
        <f t="shared" si="4"/>
        <v>21.512195121951223</v>
      </c>
      <c r="I16" s="5">
        <f t="shared" si="5"/>
        <v>19.321173991333954</v>
      </c>
      <c r="J16" s="5">
        <f t="shared" si="6"/>
        <v>19.337627881023202</v>
      </c>
      <c r="K16" s="6">
        <f t="shared" si="7"/>
        <v>8.515988571206265E-2</v>
      </c>
      <c r="L16" s="1"/>
    </row>
    <row r="17" spans="2:16" ht="15" thickBot="1" x14ac:dyDescent="0.35">
      <c r="B17" s="3">
        <v>26</v>
      </c>
      <c r="C17" s="3">
        <v>1.1529</v>
      </c>
      <c r="D17" s="6">
        <f t="shared" si="0"/>
        <v>0.26530612244897961</v>
      </c>
      <c r="E17" s="6">
        <f t="shared" si="1"/>
        <v>4.1111111111111107</v>
      </c>
      <c r="F17" s="4">
        <f t="shared" si="2"/>
        <v>6.0621761658031098E-2</v>
      </c>
      <c r="G17" s="4">
        <f t="shared" si="3"/>
        <v>0.93937823834196887</v>
      </c>
      <c r="H17" s="6">
        <f t="shared" si="4"/>
        <v>22.84974093264249</v>
      </c>
      <c r="I17" s="5">
        <f t="shared" si="5"/>
        <v>19.81936068405108</v>
      </c>
      <c r="J17" s="5">
        <f t="shared" si="6"/>
        <v>19.856224281806224</v>
      </c>
      <c r="K17" s="6">
        <f t="shared" si="7"/>
        <v>0.18599791558770173</v>
      </c>
      <c r="L17" s="1"/>
      <c r="N17" s="12" t="s">
        <v>22</v>
      </c>
      <c r="O17" s="19">
        <f>O11*1000/I19</f>
        <v>43894.557823129246</v>
      </c>
      <c r="P17" s="14" t="s">
        <v>6</v>
      </c>
    </row>
    <row r="18" spans="2:16" ht="15" thickBot="1" x14ac:dyDescent="0.35">
      <c r="B18" s="3">
        <v>35</v>
      </c>
      <c r="C18" s="4">
        <v>1.216</v>
      </c>
      <c r="D18" s="6">
        <f t="shared" si="0"/>
        <v>0.35714285714285715</v>
      </c>
      <c r="E18" s="6">
        <f t="shared" si="1"/>
        <v>3.6111111111111112</v>
      </c>
      <c r="F18" s="4">
        <f t="shared" si="2"/>
        <v>0.09</v>
      </c>
      <c r="G18" s="4">
        <f t="shared" si="3"/>
        <v>0.91</v>
      </c>
      <c r="H18" s="6">
        <f t="shared" si="4"/>
        <v>25.2</v>
      </c>
      <c r="I18" s="5">
        <f t="shared" si="5"/>
        <v>20.723684210526315</v>
      </c>
      <c r="J18" s="5">
        <f t="shared" si="6"/>
        <v>20.772626170000002</v>
      </c>
      <c r="K18" s="6">
        <f t="shared" si="7"/>
        <v>0.23616437587303074</v>
      </c>
      <c r="L18" s="1"/>
      <c r="N18" s="12" t="s">
        <v>24</v>
      </c>
      <c r="O18" s="19">
        <f>O17*F19</f>
        <v>6811.2244897959181</v>
      </c>
      <c r="P18" s="14"/>
    </row>
    <row r="19" spans="2:16" ht="15" thickBot="1" x14ac:dyDescent="0.35">
      <c r="B19" s="3">
        <v>50</v>
      </c>
      <c r="C19" s="4">
        <v>1.335</v>
      </c>
      <c r="D19" s="6">
        <f t="shared" si="0"/>
        <v>0.51020408163265307</v>
      </c>
      <c r="E19" s="6">
        <f t="shared" si="1"/>
        <v>2.7777777777777777</v>
      </c>
      <c r="F19" s="4">
        <f t="shared" si="2"/>
        <v>0.15517241379310345</v>
      </c>
      <c r="G19" s="4">
        <f t="shared" si="3"/>
        <v>0.84482758620689657</v>
      </c>
      <c r="H19" s="6">
        <f t="shared" si="4"/>
        <v>30.413793103448278</v>
      </c>
      <c r="I19" s="5">
        <f t="shared" si="5"/>
        <v>22.781867493219686</v>
      </c>
      <c r="J19" s="5">
        <f t="shared" si="6"/>
        <v>22.82901477407848</v>
      </c>
      <c r="K19" s="6">
        <f t="shared" si="7"/>
        <v>0.20695090458596793</v>
      </c>
      <c r="L19" s="1"/>
      <c r="N19" s="12" t="s">
        <v>23</v>
      </c>
      <c r="O19" s="19">
        <f>O17*G19</f>
        <v>37083.333333333328</v>
      </c>
      <c r="P19" s="14"/>
    </row>
    <row r="20" spans="2:16" ht="15" thickBot="1" x14ac:dyDescent="0.35">
      <c r="B20" s="3">
        <v>75</v>
      </c>
      <c r="C20" s="4">
        <v>1.579</v>
      </c>
      <c r="D20" s="6">
        <f t="shared" si="0"/>
        <v>0.76530612244897955</v>
      </c>
      <c r="E20" s="6">
        <f t="shared" si="1"/>
        <v>1.3888888888888888</v>
      </c>
      <c r="F20" s="4">
        <f t="shared" si="2"/>
        <v>0.35526315789473684</v>
      </c>
      <c r="G20" s="4">
        <f t="shared" si="3"/>
        <v>0.64473684210526316</v>
      </c>
      <c r="H20" s="6">
        <f t="shared" si="4"/>
        <v>46.421052631578945</v>
      </c>
      <c r="I20" s="5">
        <f t="shared" si="5"/>
        <v>29.399020032665579</v>
      </c>
      <c r="J20" s="5">
        <f t="shared" si="6"/>
        <v>29.344482565789477</v>
      </c>
      <c r="K20" s="6">
        <f t="shared" si="7"/>
        <v>-0.18550777140021971</v>
      </c>
      <c r="L20" s="1"/>
      <c r="O20" s="8"/>
    </row>
    <row r="21" spans="2:16" ht="15" thickBot="1" x14ac:dyDescent="0.35">
      <c r="B21" s="3">
        <v>100</v>
      </c>
      <c r="C21" s="4">
        <v>1.87</v>
      </c>
      <c r="D21" s="6">
        <f t="shared" si="0"/>
        <v>1.0204081632653061</v>
      </c>
      <c r="E21" s="6">
        <f t="shared" si="1"/>
        <v>0</v>
      </c>
      <c r="F21" s="4">
        <f t="shared" si="2"/>
        <v>1</v>
      </c>
      <c r="G21" s="4">
        <f t="shared" si="3"/>
        <v>0</v>
      </c>
      <c r="H21" s="6">
        <f t="shared" si="4"/>
        <v>98</v>
      </c>
      <c r="I21" s="5">
        <f t="shared" si="5"/>
        <v>52.406417112299465</v>
      </c>
      <c r="J21" s="5">
        <f t="shared" si="6"/>
        <v>52.411699999999996</v>
      </c>
      <c r="K21" s="6">
        <f t="shared" si="7"/>
        <v>1.0080612244890961E-2</v>
      </c>
      <c r="L21" s="1"/>
      <c r="N21" s="12" t="s">
        <v>25</v>
      </c>
      <c r="O21" s="19">
        <f>O18*I21/1000</f>
        <v>356.951871657754</v>
      </c>
      <c r="P21" s="14"/>
    </row>
    <row r="22" spans="2:16" ht="15" thickBot="1" x14ac:dyDescent="0.35">
      <c r="D22" s="1"/>
      <c r="E22" s="1"/>
      <c r="F22" s="1"/>
      <c r="G22" s="1"/>
      <c r="H22" s="1"/>
      <c r="I22" s="2"/>
      <c r="J22" s="2"/>
      <c r="K22" s="1"/>
      <c r="L22" s="1"/>
      <c r="N22" s="12" t="s">
        <v>26</v>
      </c>
      <c r="O22" s="19">
        <f>O19*I12/1000</f>
        <v>668.70366659987974</v>
      </c>
      <c r="P22" s="14"/>
    </row>
    <row r="23" spans="2:16" ht="15" thickBot="1" x14ac:dyDescent="0.35">
      <c r="D23" s="1"/>
      <c r="E23" s="1"/>
      <c r="F23" s="1"/>
      <c r="G23" s="1"/>
      <c r="H23" s="1"/>
      <c r="I23" s="2"/>
      <c r="J23" s="2"/>
      <c r="K23" s="1"/>
      <c r="L23" s="1"/>
      <c r="N23" s="12" t="s">
        <v>45</v>
      </c>
      <c r="O23" s="19">
        <f>O21+O22</f>
        <v>1025.6555382576337</v>
      </c>
      <c r="P23" s="14" t="s">
        <v>21</v>
      </c>
    </row>
    <row r="24" spans="2:16" ht="15" thickBot="1" x14ac:dyDescent="0.35">
      <c r="D24" s="1"/>
      <c r="E24" s="1"/>
      <c r="F24" s="1"/>
      <c r="G24" s="1"/>
      <c r="H24" s="1"/>
      <c r="I24" s="2"/>
      <c r="J24" s="2"/>
      <c r="K24" s="1"/>
      <c r="L24" s="1"/>
    </row>
    <row r="25" spans="2:16" ht="15" thickBot="1" x14ac:dyDescent="0.35">
      <c r="D25" s="1"/>
      <c r="E25" s="1"/>
      <c r="F25" s="1"/>
      <c r="G25" s="1"/>
      <c r="H25" s="1"/>
      <c r="I25" s="2"/>
      <c r="J25" s="2"/>
      <c r="K25" s="1"/>
      <c r="L25" s="1"/>
      <c r="N25" s="12" t="s">
        <v>44</v>
      </c>
      <c r="O25" s="19">
        <f>O11-O23</f>
        <v>-25.65553825763368</v>
      </c>
      <c r="P25" s="14" t="s">
        <v>21</v>
      </c>
    </row>
    <row r="26" spans="2:16" x14ac:dyDescent="0.3">
      <c r="D26" s="1"/>
      <c r="E26" s="1"/>
      <c r="F26" s="1"/>
      <c r="G26" s="1"/>
      <c r="H26" s="1"/>
      <c r="I26" s="2"/>
      <c r="J26" s="2"/>
      <c r="K26" s="1"/>
      <c r="L26" s="1"/>
    </row>
    <row r="27" spans="2:16" x14ac:dyDescent="0.3">
      <c r="D27" s="1"/>
      <c r="E27" s="1"/>
      <c r="F27" s="1"/>
      <c r="G27" s="1"/>
      <c r="H27" s="1"/>
      <c r="I27" s="2"/>
      <c r="J27" s="2"/>
      <c r="K27" s="1"/>
      <c r="L27" s="1"/>
      <c r="O27" s="1"/>
    </row>
    <row r="28" spans="2:16" x14ac:dyDescent="0.3">
      <c r="D28" s="1"/>
      <c r="E28" s="1"/>
      <c r="F28" s="1"/>
      <c r="G28" s="1"/>
      <c r="H28" s="1"/>
      <c r="I28" s="2"/>
      <c r="J28" s="2"/>
      <c r="K28" s="1"/>
      <c r="L28" s="1"/>
    </row>
    <row r="29" spans="2:16" x14ac:dyDescent="0.3">
      <c r="D29" s="1"/>
      <c r="E29" s="1"/>
      <c r="F29" s="1"/>
      <c r="G29" s="1"/>
      <c r="H29" s="1"/>
      <c r="I29" s="2"/>
      <c r="J29" s="2"/>
      <c r="K29" s="1"/>
      <c r="L29" s="1"/>
    </row>
    <row r="30" spans="2:16" x14ac:dyDescent="0.3">
      <c r="D30" s="1"/>
      <c r="E30" s="1"/>
      <c r="F30" s="1"/>
      <c r="G30" s="1"/>
      <c r="H30" s="1"/>
      <c r="I30" s="2"/>
      <c r="J30" s="2"/>
      <c r="K30" s="1"/>
      <c r="L30" s="1"/>
    </row>
    <row r="31" spans="2:16" x14ac:dyDescent="0.3">
      <c r="D31" s="1"/>
      <c r="E31" s="1"/>
      <c r="F31" s="1"/>
      <c r="G31" s="1"/>
      <c r="H31" s="1"/>
      <c r="I31" s="2"/>
      <c r="J31" s="2"/>
      <c r="K31" s="1"/>
      <c r="L31" s="1"/>
    </row>
    <row r="32" spans="2:16" x14ac:dyDescent="0.3">
      <c r="D32" s="1"/>
      <c r="E32" s="1"/>
      <c r="H32" s="1"/>
      <c r="I32" s="2"/>
      <c r="J32" s="2"/>
      <c r="K32" s="1"/>
      <c r="L32" s="1"/>
    </row>
  </sheetData>
  <mergeCells count="2">
    <mergeCell ref="D10:E10"/>
    <mergeCell ref="F10:G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P32"/>
  <sheetViews>
    <sheetView topLeftCell="A2" workbookViewId="0">
      <selection activeCell="H7" sqref="H7"/>
    </sheetView>
  </sheetViews>
  <sheetFormatPr baseColWidth="10" defaultRowHeight="14.4" x14ac:dyDescent="0.3"/>
  <sheetData>
    <row r="2" spans="2:16" x14ac:dyDescent="0.3">
      <c r="B2" t="s">
        <v>0</v>
      </c>
    </row>
    <row r="3" spans="2:16" x14ac:dyDescent="0.3">
      <c r="B3" t="s">
        <v>1</v>
      </c>
    </row>
    <row r="4" spans="2:16" x14ac:dyDescent="0.3">
      <c r="B4" t="s">
        <v>2</v>
      </c>
    </row>
    <row r="6" spans="2:16" x14ac:dyDescent="0.3">
      <c r="B6" t="s">
        <v>3</v>
      </c>
    </row>
    <row r="7" spans="2:16" ht="15.6" x14ac:dyDescent="0.35">
      <c r="B7" t="s">
        <v>27</v>
      </c>
    </row>
    <row r="8" spans="2:16" ht="15.6" x14ac:dyDescent="0.35">
      <c r="D8" s="10" t="s">
        <v>28</v>
      </c>
      <c r="E8" s="3">
        <v>60</v>
      </c>
    </row>
    <row r="9" spans="2:16" ht="15.6" x14ac:dyDescent="0.35">
      <c r="D9" s="3" t="s">
        <v>7</v>
      </c>
      <c r="E9" s="3">
        <v>18</v>
      </c>
    </row>
    <row r="10" spans="2:16" x14ac:dyDescent="0.3">
      <c r="D10" s="60" t="s">
        <v>6</v>
      </c>
      <c r="E10" s="60"/>
      <c r="F10" s="61" t="s">
        <v>10</v>
      </c>
      <c r="G10" s="62"/>
      <c r="H10" s="3" t="s">
        <v>11</v>
      </c>
      <c r="I10" s="3" t="s">
        <v>13</v>
      </c>
      <c r="J10" s="3" t="s">
        <v>13</v>
      </c>
    </row>
    <row r="11" spans="2:16" ht="15.6" x14ac:dyDescent="0.35">
      <c r="B11" s="10" t="s">
        <v>62</v>
      </c>
      <c r="C11" s="3" t="s">
        <v>4</v>
      </c>
      <c r="D11" s="10" t="s">
        <v>28</v>
      </c>
      <c r="E11" s="3" t="s">
        <v>7</v>
      </c>
      <c r="F11" s="10" t="s">
        <v>28</v>
      </c>
      <c r="G11" s="3" t="s">
        <v>7</v>
      </c>
      <c r="H11" s="7" t="s">
        <v>12</v>
      </c>
      <c r="I11" s="3" t="s">
        <v>14</v>
      </c>
      <c r="J11" s="3" t="s">
        <v>14</v>
      </c>
    </row>
    <row r="12" spans="2:16" x14ac:dyDescent="0.3">
      <c r="B12" s="3">
        <v>0</v>
      </c>
      <c r="C12" s="3">
        <v>0.99819999999999998</v>
      </c>
      <c r="D12" s="6">
        <f>B12/$E$8</f>
        <v>0</v>
      </c>
      <c r="E12" s="6">
        <f>(100-B12)/$E$9</f>
        <v>5.5555555555555554</v>
      </c>
      <c r="F12" s="3">
        <f>D12/(D12+E12)</f>
        <v>0</v>
      </c>
      <c r="G12" s="3">
        <f>1-F12</f>
        <v>1</v>
      </c>
      <c r="H12" s="6">
        <f>F12*$E$8+G12*$E$9</f>
        <v>18</v>
      </c>
      <c r="I12" s="6">
        <f>H12/C12</f>
        <v>18.032458425165299</v>
      </c>
      <c r="J12" s="6">
        <f>-6.2568*F12^3+12.781*F12^2+51.852*F12+17.955</f>
        <v>17.954999999999998</v>
      </c>
      <c r="K12" s="1">
        <f>(J12-I12)*100/I12</f>
        <v>-0.42955000000001547</v>
      </c>
      <c r="L12" s="1">
        <f>67106*C12^6-360293*C12^5+805355*C12^4-959437*C12^3+642585*C12^2-229450*C12+34134</f>
        <v>2.0062830299139023E-4</v>
      </c>
      <c r="M12" s="1"/>
      <c r="N12" t="s">
        <v>29</v>
      </c>
      <c r="O12">
        <v>4000</v>
      </c>
      <c r="P12" t="s">
        <v>21</v>
      </c>
    </row>
    <row r="13" spans="2:16" x14ac:dyDescent="0.3">
      <c r="B13" s="3">
        <v>5</v>
      </c>
      <c r="C13">
        <v>0.98929999999999996</v>
      </c>
      <c r="D13" s="6">
        <f t="shared" ref="D13:D32" si="0">B13/$E$8</f>
        <v>8.3333333333333329E-2</v>
      </c>
      <c r="E13" s="6">
        <f t="shared" ref="E13:E32" si="1">(100-B13)/$E$9</f>
        <v>5.2777777777777777</v>
      </c>
      <c r="F13" s="6">
        <f t="shared" ref="F13:F32" si="2">D13/(D13+E13)</f>
        <v>1.5544041450777202E-2</v>
      </c>
      <c r="G13" s="6">
        <f t="shared" ref="G13:G32" si="3">1-F13</f>
        <v>0.98445595854922274</v>
      </c>
      <c r="H13" s="6">
        <f t="shared" ref="H13:H32" si="4">F13*$E$8+G13*$E$9</f>
        <v>18.652849740932641</v>
      </c>
      <c r="I13" s="6">
        <f t="shared" ref="I13:I32" si="5">H13/C13</f>
        <v>18.854593895615729</v>
      </c>
      <c r="J13" s="6">
        <f t="shared" ref="J13:J32" si="6">-6.2568*F13^3+12.781*F13^2+51.852*F13+17.955</f>
        <v>18.764054248338827</v>
      </c>
      <c r="K13" s="1">
        <f t="shared" ref="K13:K32" si="7">(J13-I13)*100/I13</f>
        <v>-0.48019940274584882</v>
      </c>
      <c r="L13" s="1">
        <f t="shared" ref="L13:L32" si="8">67106*C13^6-360293*C13^5+805355*C13^4-959437*C13^3+642585*C13^2-229450*C13+34134</f>
        <v>6.0219178267288953E-3</v>
      </c>
      <c r="M13" s="1">
        <f>(L13-F13)*100/F13</f>
        <v>-61.258995314710774</v>
      </c>
      <c r="N13" t="s">
        <v>18</v>
      </c>
      <c r="O13">
        <v>0.90690000000000004</v>
      </c>
      <c r="P13" t="s">
        <v>19</v>
      </c>
    </row>
    <row r="14" spans="2:16" x14ac:dyDescent="0.3">
      <c r="B14" s="3">
        <v>10</v>
      </c>
      <c r="C14" s="9">
        <v>0.98199999999999998</v>
      </c>
      <c r="D14" s="6">
        <f t="shared" si="0"/>
        <v>0.16666666666666666</v>
      </c>
      <c r="E14" s="6">
        <f t="shared" si="1"/>
        <v>5</v>
      </c>
      <c r="F14" s="6">
        <f t="shared" si="2"/>
        <v>3.2258064516129031E-2</v>
      </c>
      <c r="G14" s="6">
        <f t="shared" si="3"/>
        <v>0.967741935483871</v>
      </c>
      <c r="H14" s="6">
        <f t="shared" si="4"/>
        <v>19.354838709677423</v>
      </c>
      <c r="I14" s="6">
        <f t="shared" si="5"/>
        <v>19.709611720649107</v>
      </c>
      <c r="J14" s="6">
        <f t="shared" si="6"/>
        <v>19.640734825954144</v>
      </c>
      <c r="K14" s="1">
        <f t="shared" si="7"/>
        <v>-0.34945840471734357</v>
      </c>
      <c r="L14" s="1">
        <f t="shared" si="8"/>
        <v>1.4917484921170399E-2</v>
      </c>
      <c r="M14" s="1">
        <f>(L14-F14)*100/F14</f>
        <v>-53.755796744371757</v>
      </c>
      <c r="N14" t="s">
        <v>30</v>
      </c>
      <c r="O14">
        <v>0.23</v>
      </c>
    </row>
    <row r="15" spans="2:16" x14ac:dyDescent="0.3">
      <c r="B15" s="3">
        <v>15</v>
      </c>
      <c r="C15">
        <v>0.97650000000000003</v>
      </c>
      <c r="D15" s="6">
        <f t="shared" si="0"/>
        <v>0.25</v>
      </c>
      <c r="E15" s="6">
        <f t="shared" si="1"/>
        <v>4.7222222222222223</v>
      </c>
      <c r="F15" s="6">
        <f t="shared" si="2"/>
        <v>5.0279329608938543E-2</v>
      </c>
      <c r="G15" s="6">
        <f t="shared" si="3"/>
        <v>0.94972067039106145</v>
      </c>
      <c r="H15" s="6">
        <f t="shared" si="4"/>
        <v>20.111731843575416</v>
      </c>
      <c r="I15" s="6">
        <f t="shared" si="5"/>
        <v>20.595731534639441</v>
      </c>
      <c r="J15" s="6">
        <f t="shared" si="6"/>
        <v>20.59359902610813</v>
      </c>
      <c r="K15" s="1">
        <f t="shared" si="7"/>
        <v>-1.0354128610213478E-2</v>
      </c>
      <c r="L15" s="1">
        <f t="shared" si="8"/>
        <v>2.3024972382700071E-2</v>
      </c>
      <c r="M15" s="1">
        <f>(L15-F15)*100/F15</f>
        <v>-54.205888261074293</v>
      </c>
      <c r="N15" t="s">
        <v>31</v>
      </c>
      <c r="O15">
        <v>30.54</v>
      </c>
      <c r="P15" t="s">
        <v>14</v>
      </c>
    </row>
    <row r="16" spans="2:16" x14ac:dyDescent="0.3">
      <c r="B16" s="3">
        <v>20</v>
      </c>
      <c r="C16">
        <v>0.97030000000000005</v>
      </c>
      <c r="D16" s="6">
        <f t="shared" si="0"/>
        <v>0.33333333333333331</v>
      </c>
      <c r="E16" s="6">
        <f t="shared" si="1"/>
        <v>4.4444444444444446</v>
      </c>
      <c r="F16" s="6">
        <f t="shared" si="2"/>
        <v>6.9767441860465115E-2</v>
      </c>
      <c r="G16" s="6">
        <f t="shared" si="3"/>
        <v>0.93023255813953487</v>
      </c>
      <c r="H16" s="6">
        <f t="shared" si="4"/>
        <v>20.930232558139537</v>
      </c>
      <c r="I16" s="6">
        <f t="shared" si="5"/>
        <v>21.570887929650144</v>
      </c>
      <c r="J16" s="6">
        <f t="shared" si="6"/>
        <v>21.632668097148677</v>
      </c>
      <c r="K16" s="1">
        <f t="shared" si="7"/>
        <v>0.28640530561383798</v>
      </c>
      <c r="L16" s="1">
        <f t="shared" si="8"/>
        <v>3.2945278333500028E-2</v>
      </c>
      <c r="M16" s="1">
        <f>(L16-F16)*100/F16</f>
        <v>-52.778434388649963</v>
      </c>
    </row>
    <row r="17" spans="2:16" x14ac:dyDescent="0.3">
      <c r="B17" s="3">
        <v>25</v>
      </c>
      <c r="C17" s="3">
        <v>0.96150000000000002</v>
      </c>
      <c r="D17" s="6">
        <f t="shared" si="0"/>
        <v>0.41666666666666669</v>
      </c>
      <c r="E17" s="6">
        <f t="shared" si="1"/>
        <v>4.166666666666667</v>
      </c>
      <c r="F17" s="6">
        <f t="shared" si="2"/>
        <v>9.0909090909090898E-2</v>
      </c>
      <c r="G17" s="6">
        <f t="shared" si="3"/>
        <v>0.90909090909090906</v>
      </c>
      <c r="H17" s="6">
        <f t="shared" si="4"/>
        <v>21.818181818181817</v>
      </c>
      <c r="I17" s="6">
        <f t="shared" si="5"/>
        <v>22.691816763579631</v>
      </c>
      <c r="J17" s="6">
        <f t="shared" si="6"/>
        <v>22.769745454545451</v>
      </c>
      <c r="K17" s="1">
        <f t="shared" si="7"/>
        <v>0.34342199999999662</v>
      </c>
      <c r="L17" s="1">
        <f t="shared" si="8"/>
        <v>4.7586960514308885E-2</v>
      </c>
      <c r="M17" s="1">
        <f t="shared" ref="M17:M32" si="9">(L17-F17)*100/F17</f>
        <v>-47.65434343426022</v>
      </c>
      <c r="N17" t="s">
        <v>32</v>
      </c>
      <c r="O17">
        <f>O12*1000/O15</f>
        <v>130975.76948264572</v>
      </c>
    </row>
    <row r="18" spans="2:16" x14ac:dyDescent="0.3">
      <c r="B18" s="3">
        <v>30</v>
      </c>
      <c r="C18" s="4">
        <v>0.95199999999999996</v>
      </c>
      <c r="D18" s="6">
        <f t="shared" si="0"/>
        <v>0.5</v>
      </c>
      <c r="E18" s="6">
        <f t="shared" si="1"/>
        <v>3.8888888888888888</v>
      </c>
      <c r="F18" s="6">
        <f t="shared" si="2"/>
        <v>0.11392405063291139</v>
      </c>
      <c r="G18" s="6">
        <f t="shared" si="3"/>
        <v>0.88607594936708867</v>
      </c>
      <c r="H18" s="6">
        <f t="shared" si="4"/>
        <v>22.784810126582279</v>
      </c>
      <c r="I18" s="6">
        <f t="shared" si="5"/>
        <v>23.933624082544412</v>
      </c>
      <c r="J18" s="6">
        <f t="shared" si="6"/>
        <v>24.018819291780162</v>
      </c>
      <c r="K18" s="1">
        <f t="shared" si="7"/>
        <v>0.35596451645567961</v>
      </c>
      <c r="L18" s="1">
        <f t="shared" si="8"/>
        <v>6.3395365286851302E-2</v>
      </c>
      <c r="M18" s="1">
        <f t="shared" si="9"/>
        <v>-44.352957137097185</v>
      </c>
      <c r="N18" t="s">
        <v>33</v>
      </c>
      <c r="O18">
        <f>O17*O14</f>
        <v>30124.426981008517</v>
      </c>
    </row>
    <row r="19" spans="2:16" x14ac:dyDescent="0.3">
      <c r="B19" s="3">
        <v>35</v>
      </c>
      <c r="C19" s="3">
        <v>0.94189999999999996</v>
      </c>
      <c r="D19" s="6">
        <f t="shared" si="0"/>
        <v>0.58333333333333337</v>
      </c>
      <c r="E19" s="6">
        <f t="shared" si="1"/>
        <v>3.6111111111111112</v>
      </c>
      <c r="F19" s="6">
        <f t="shared" si="2"/>
        <v>0.13907284768211919</v>
      </c>
      <c r="G19" s="6">
        <f t="shared" si="3"/>
        <v>0.86092715231788075</v>
      </c>
      <c r="H19" s="6">
        <f t="shared" si="4"/>
        <v>23.841059602649004</v>
      </c>
      <c r="I19" s="6">
        <f t="shared" si="5"/>
        <v>25.311667483436675</v>
      </c>
      <c r="J19" s="6">
        <f t="shared" si="6"/>
        <v>25.396576089290839</v>
      </c>
      <c r="K19" s="1">
        <f t="shared" si="7"/>
        <v>0.33545243872109881</v>
      </c>
      <c r="L19" s="1">
        <f t="shared" si="8"/>
        <v>7.9952385072829202E-2</v>
      </c>
      <c r="M19" s="1">
        <f t="shared" si="9"/>
        <v>-42.510427876203764</v>
      </c>
      <c r="N19" t="s">
        <v>34</v>
      </c>
      <c r="O19">
        <f>O17-O18</f>
        <v>100851.34250163721</v>
      </c>
    </row>
    <row r="20" spans="2:16" x14ac:dyDescent="0.3">
      <c r="B20" s="3">
        <v>40</v>
      </c>
      <c r="C20" s="4">
        <v>0.93100000000000005</v>
      </c>
      <c r="D20" s="6">
        <f t="shared" si="0"/>
        <v>0.66666666666666663</v>
      </c>
      <c r="E20" s="6">
        <f t="shared" si="1"/>
        <v>3.3333333333333335</v>
      </c>
      <c r="F20" s="6">
        <f t="shared" si="2"/>
        <v>0.16666666666666666</v>
      </c>
      <c r="G20" s="6">
        <f t="shared" si="3"/>
        <v>0.83333333333333337</v>
      </c>
      <c r="H20" s="6">
        <f t="shared" si="4"/>
        <v>25</v>
      </c>
      <c r="I20" s="6">
        <f t="shared" si="5"/>
        <v>26.85284640171858</v>
      </c>
      <c r="J20" s="6">
        <f t="shared" si="6"/>
        <v>26.92306111111111</v>
      </c>
      <c r="K20" s="1">
        <f t="shared" si="7"/>
        <v>0.26147957777778358</v>
      </c>
      <c r="L20" s="1">
        <f t="shared" si="8"/>
        <v>9.7930547955911607E-2</v>
      </c>
      <c r="M20" s="1">
        <f t="shared" si="9"/>
        <v>-41.241671226453036</v>
      </c>
    </row>
    <row r="21" spans="2:16" x14ac:dyDescent="0.3">
      <c r="B21" s="3">
        <v>45</v>
      </c>
      <c r="C21" s="4">
        <v>0.92200000000000004</v>
      </c>
      <c r="D21" s="6">
        <f t="shared" si="0"/>
        <v>0.75</v>
      </c>
      <c r="E21" s="6">
        <f t="shared" si="1"/>
        <v>3.0555555555555554</v>
      </c>
      <c r="F21" s="6">
        <f t="shared" si="2"/>
        <v>0.19708029197080293</v>
      </c>
      <c r="G21" s="6">
        <f t="shared" si="3"/>
        <v>0.8029197080291971</v>
      </c>
      <c r="H21" s="6">
        <f t="shared" si="4"/>
        <v>26.277372262773724</v>
      </c>
      <c r="I21" s="6">
        <f t="shared" si="5"/>
        <v>28.500403755719873</v>
      </c>
      <c r="J21" s="6">
        <f t="shared" si="6"/>
        <v>28.6225354549142</v>
      </c>
      <c r="K21" s="1">
        <f t="shared" si="7"/>
        <v>0.42852620700089455</v>
      </c>
      <c r="L21" s="1">
        <f t="shared" si="8"/>
        <v>0.11350491107441485</v>
      </c>
      <c r="M21" s="1">
        <f t="shared" si="9"/>
        <v>-42.406767343722841</v>
      </c>
      <c r="N21" t="s">
        <v>35</v>
      </c>
      <c r="O21">
        <f>O18*I32/1000</f>
        <v>2301.3313201687179</v>
      </c>
      <c r="P21" t="s">
        <v>21</v>
      </c>
    </row>
    <row r="22" spans="2:16" x14ac:dyDescent="0.3">
      <c r="B22" s="3">
        <v>50</v>
      </c>
      <c r="C22" s="3">
        <v>0.90690000000000004</v>
      </c>
      <c r="D22" s="6">
        <f t="shared" si="0"/>
        <v>0.83333333333333337</v>
      </c>
      <c r="E22" s="6">
        <f t="shared" si="1"/>
        <v>2.7777777777777777</v>
      </c>
      <c r="F22" s="6">
        <f t="shared" si="2"/>
        <v>0.23076923076923078</v>
      </c>
      <c r="G22" s="6">
        <f t="shared" si="3"/>
        <v>0.76923076923076916</v>
      </c>
      <c r="H22" s="6">
        <f t="shared" si="4"/>
        <v>27.692307692307693</v>
      </c>
      <c r="I22" s="6">
        <f t="shared" si="5"/>
        <v>30.535128120308404</v>
      </c>
      <c r="J22" s="6">
        <f t="shared" si="6"/>
        <v>30.524598270368685</v>
      </c>
      <c r="K22" s="1">
        <f t="shared" si="7"/>
        <v>-3.4484381065083496E-2</v>
      </c>
      <c r="L22" s="1">
        <f t="shared" si="8"/>
        <v>0.14304054790409282</v>
      </c>
      <c r="M22" s="1">
        <f t="shared" si="9"/>
        <v>-38.015762574893117</v>
      </c>
      <c r="N22" t="s">
        <v>36</v>
      </c>
      <c r="O22">
        <f>O19*I12/1000</f>
        <v>1818.5976407828789</v>
      </c>
    </row>
    <row r="23" spans="2:16" x14ac:dyDescent="0.3">
      <c r="B23" s="3">
        <v>55</v>
      </c>
      <c r="C23" s="3">
        <v>0.89459999999999995</v>
      </c>
      <c r="D23" s="6">
        <f t="shared" si="0"/>
        <v>0.91666666666666663</v>
      </c>
      <c r="E23" s="6">
        <f t="shared" si="1"/>
        <v>2.5</v>
      </c>
      <c r="F23" s="6">
        <f t="shared" si="2"/>
        <v>0.26829268292682928</v>
      </c>
      <c r="G23" s="6">
        <f t="shared" si="3"/>
        <v>0.73170731707317072</v>
      </c>
      <c r="H23" s="6">
        <f t="shared" si="4"/>
        <v>29.268292682926827</v>
      </c>
      <c r="I23" s="6">
        <f t="shared" si="5"/>
        <v>32.716624952969852</v>
      </c>
      <c r="J23" s="6">
        <f t="shared" si="6"/>
        <v>32.665669784245729</v>
      </c>
      <c r="K23" s="1">
        <f t="shared" si="7"/>
        <v>-0.15574702096371743</v>
      </c>
      <c r="L23" s="1">
        <f t="shared" si="8"/>
        <v>0.17210231538047083</v>
      </c>
      <c r="M23" s="1">
        <f t="shared" si="9"/>
        <v>-35.852773358188152</v>
      </c>
    </row>
    <row r="24" spans="2:16" x14ac:dyDescent="0.3">
      <c r="B24" s="3">
        <v>60</v>
      </c>
      <c r="C24" s="3">
        <v>0.88249999999999995</v>
      </c>
      <c r="D24" s="6">
        <f t="shared" si="0"/>
        <v>1</v>
      </c>
      <c r="E24" s="6">
        <f t="shared" si="1"/>
        <v>2.2222222222222223</v>
      </c>
      <c r="F24" s="6">
        <f t="shared" si="2"/>
        <v>0.31034482758620691</v>
      </c>
      <c r="G24" s="6">
        <f t="shared" si="3"/>
        <v>0.68965517241379315</v>
      </c>
      <c r="H24" s="6">
        <f t="shared" si="4"/>
        <v>31.03448275862069</v>
      </c>
      <c r="I24" s="6">
        <f t="shared" si="5"/>
        <v>35.166552700986621</v>
      </c>
      <c r="J24" s="6">
        <f t="shared" si="6"/>
        <v>35.090969076222883</v>
      </c>
      <c r="K24" s="1">
        <f t="shared" si="7"/>
        <v>-0.21493043519621713</v>
      </c>
      <c r="L24" s="1">
        <f t="shared" si="8"/>
        <v>0.20658257225295529</v>
      </c>
      <c r="M24" s="1">
        <f t="shared" si="9"/>
        <v>-33.434504496269966</v>
      </c>
      <c r="N24" t="s">
        <v>37</v>
      </c>
      <c r="O24">
        <f>O21+O22</f>
        <v>4119.9289609515963</v>
      </c>
    </row>
    <row r="25" spans="2:16" x14ac:dyDescent="0.3">
      <c r="B25" s="3">
        <v>65</v>
      </c>
      <c r="C25" s="3">
        <v>0.87019999999999997</v>
      </c>
      <c r="D25" s="6">
        <f t="shared" si="0"/>
        <v>1.0833333333333333</v>
      </c>
      <c r="E25" s="6">
        <f t="shared" si="1"/>
        <v>1.9444444444444444</v>
      </c>
      <c r="F25" s="6">
        <f t="shared" si="2"/>
        <v>0.35779816513761464</v>
      </c>
      <c r="G25" s="6">
        <f t="shared" si="3"/>
        <v>0.64220183486238536</v>
      </c>
      <c r="H25" s="6">
        <f t="shared" si="4"/>
        <v>33.027522935779814</v>
      </c>
      <c r="I25" s="6">
        <f t="shared" si="5"/>
        <v>37.953944996299491</v>
      </c>
      <c r="J25" s="6">
        <f t="shared" si="6"/>
        <v>37.857174358875355</v>
      </c>
      <c r="K25" s="1">
        <f t="shared" si="7"/>
        <v>-0.25496858741185158</v>
      </c>
      <c r="L25" s="1">
        <f t="shared" si="8"/>
        <v>0.24870498877135105</v>
      </c>
      <c r="M25" s="1">
        <f t="shared" si="9"/>
        <v>-30.490144163904439</v>
      </c>
    </row>
    <row r="26" spans="2:16" x14ac:dyDescent="0.3">
      <c r="B26" s="3">
        <v>70</v>
      </c>
      <c r="C26" s="3">
        <v>0.85840000000000005</v>
      </c>
      <c r="D26" s="6">
        <f t="shared" si="0"/>
        <v>1.1666666666666667</v>
      </c>
      <c r="E26" s="6">
        <f t="shared" si="1"/>
        <v>1.6666666666666667</v>
      </c>
      <c r="F26" s="6">
        <f t="shared" si="2"/>
        <v>0.41176470588235292</v>
      </c>
      <c r="G26" s="6">
        <f t="shared" si="3"/>
        <v>0.58823529411764708</v>
      </c>
      <c r="H26" s="6">
        <f t="shared" si="4"/>
        <v>35.294117647058819</v>
      </c>
      <c r="I26" s="6">
        <f t="shared" si="5"/>
        <v>41.116166876815953</v>
      </c>
      <c r="J26" s="6">
        <f t="shared" si="6"/>
        <v>41.036027193160997</v>
      </c>
      <c r="K26" s="1">
        <f t="shared" si="7"/>
        <v>-0.19491039594000636</v>
      </c>
      <c r="L26" s="1">
        <f t="shared" si="8"/>
        <v>0.29660459456499666</v>
      </c>
      <c r="M26" s="1">
        <f t="shared" si="9"/>
        <v>-27.967455605643664</v>
      </c>
    </row>
    <row r="27" spans="2:16" x14ac:dyDescent="0.3">
      <c r="B27" s="3">
        <v>75</v>
      </c>
      <c r="C27" s="3">
        <v>0.84640000000000004</v>
      </c>
      <c r="D27" s="6">
        <f t="shared" si="0"/>
        <v>1.25</v>
      </c>
      <c r="E27" s="6">
        <f t="shared" si="1"/>
        <v>1.3888888888888888</v>
      </c>
      <c r="F27" s="6">
        <f t="shared" si="2"/>
        <v>0.47368421052631582</v>
      </c>
      <c r="G27" s="6">
        <f t="shared" si="3"/>
        <v>0.52631578947368418</v>
      </c>
      <c r="H27" s="6">
        <f t="shared" si="4"/>
        <v>37.89473684210526</v>
      </c>
      <c r="I27" s="6">
        <f t="shared" si="5"/>
        <v>44.771664510993922</v>
      </c>
      <c r="J27" s="6">
        <f t="shared" si="6"/>
        <v>44.719236740049567</v>
      </c>
      <c r="K27" s="1">
        <f t="shared" si="7"/>
        <v>-0.11710033905815882</v>
      </c>
      <c r="L27" s="1">
        <f t="shared" si="8"/>
        <v>0.3536251911718864</v>
      </c>
      <c r="M27" s="1">
        <f t="shared" si="9"/>
        <v>-25.345792974823986</v>
      </c>
    </row>
    <row r="28" spans="2:16" x14ac:dyDescent="0.3">
      <c r="B28" s="3">
        <v>80</v>
      </c>
      <c r="C28" s="3">
        <v>0.83420000000000005</v>
      </c>
      <c r="D28" s="6">
        <f t="shared" si="0"/>
        <v>1.3333333333333333</v>
      </c>
      <c r="E28" s="6">
        <f t="shared" si="1"/>
        <v>1.1111111111111112</v>
      </c>
      <c r="F28" s="6">
        <f t="shared" si="2"/>
        <v>0.54545454545454541</v>
      </c>
      <c r="G28" s="6">
        <f t="shared" si="3"/>
        <v>0.45454545454545459</v>
      </c>
      <c r="H28" s="6">
        <f t="shared" si="4"/>
        <v>40.909090909090907</v>
      </c>
      <c r="I28" s="6">
        <f t="shared" si="5"/>
        <v>49.039907587018583</v>
      </c>
      <c r="J28" s="6">
        <f t="shared" si="6"/>
        <v>49.025142148760324</v>
      </c>
      <c r="K28" s="1">
        <f t="shared" si="7"/>
        <v>-3.0109025454540802E-2</v>
      </c>
      <c r="L28" s="1">
        <f t="shared" si="8"/>
        <v>0.4213758668047376</v>
      </c>
      <c r="M28" s="1">
        <f t="shared" si="9"/>
        <v>-22.747757752464768</v>
      </c>
    </row>
    <row r="29" spans="2:16" x14ac:dyDescent="0.3">
      <c r="B29" s="3">
        <v>85</v>
      </c>
      <c r="C29" s="3">
        <v>0.82189999999999996</v>
      </c>
      <c r="D29" s="6">
        <f t="shared" si="0"/>
        <v>1.4166666666666667</v>
      </c>
      <c r="E29" s="6">
        <f t="shared" si="1"/>
        <v>0.83333333333333337</v>
      </c>
      <c r="F29" s="6">
        <f t="shared" si="2"/>
        <v>0.62962962962962965</v>
      </c>
      <c r="G29" s="6">
        <f t="shared" si="3"/>
        <v>0.37037037037037035</v>
      </c>
      <c r="H29" s="6">
        <f t="shared" si="4"/>
        <v>44.444444444444443</v>
      </c>
      <c r="I29" s="6">
        <f t="shared" si="5"/>
        <v>54.075245704397673</v>
      </c>
      <c r="J29" s="6">
        <f t="shared" si="6"/>
        <v>54.107635299497026</v>
      </c>
      <c r="K29" s="1">
        <f t="shared" si="7"/>
        <v>5.9897268477356255E-2</v>
      </c>
      <c r="L29" s="1">
        <f t="shared" si="8"/>
        <v>0.50183894150541164</v>
      </c>
      <c r="M29" s="1">
        <f t="shared" si="9"/>
        <v>-20.296168113846392</v>
      </c>
    </row>
    <row r="30" spans="2:16" x14ac:dyDescent="0.3">
      <c r="B30" s="3">
        <v>90</v>
      </c>
      <c r="C30" s="3">
        <v>0.80959999999999999</v>
      </c>
      <c r="D30" s="6">
        <f t="shared" si="0"/>
        <v>1.5</v>
      </c>
      <c r="E30" s="6">
        <f t="shared" si="1"/>
        <v>0.55555555555555558</v>
      </c>
      <c r="F30" s="6">
        <f t="shared" si="2"/>
        <v>0.72972972972972983</v>
      </c>
      <c r="G30" s="6">
        <f t="shared" si="3"/>
        <v>0.27027027027027017</v>
      </c>
      <c r="H30" s="6">
        <f t="shared" si="4"/>
        <v>48.648648648648653</v>
      </c>
      <c r="I30" s="6">
        <f t="shared" si="5"/>
        <v>60.08973400277749</v>
      </c>
      <c r="J30" s="6">
        <f t="shared" si="6"/>
        <v>60.167599344560045</v>
      </c>
      <c r="K30" s="1">
        <f t="shared" si="7"/>
        <v>0.12958177145359986</v>
      </c>
      <c r="L30" s="1">
        <f t="shared" si="8"/>
        <v>0.59840077007538639</v>
      </c>
      <c r="M30" s="1">
        <f t="shared" si="9"/>
        <v>-17.996931508187803</v>
      </c>
    </row>
    <row r="31" spans="2:16" x14ac:dyDescent="0.3">
      <c r="B31" s="3">
        <v>95</v>
      </c>
      <c r="C31" s="3">
        <v>0.79730000000000001</v>
      </c>
      <c r="D31" s="6">
        <f t="shared" si="0"/>
        <v>1.5833333333333333</v>
      </c>
      <c r="E31" s="6">
        <f t="shared" si="1"/>
        <v>0.27777777777777779</v>
      </c>
      <c r="F31" s="6">
        <f t="shared" si="2"/>
        <v>0.85074626865671632</v>
      </c>
      <c r="G31" s="6">
        <f t="shared" si="3"/>
        <v>0.14925373134328368</v>
      </c>
      <c r="H31" s="6">
        <f t="shared" si="4"/>
        <v>53.731343283582092</v>
      </c>
      <c r="I31" s="6">
        <f t="shared" si="5"/>
        <v>67.391625841693326</v>
      </c>
      <c r="J31" s="6">
        <f t="shared" si="6"/>
        <v>67.465803046252347</v>
      </c>
      <c r="K31" s="1">
        <f t="shared" si="7"/>
        <v>0.11006887522385551</v>
      </c>
      <c r="L31" s="1">
        <f t="shared" si="8"/>
        <v>0.71757114492356777</v>
      </c>
      <c r="M31" s="1">
        <f t="shared" si="9"/>
        <v>-15.653918052843778</v>
      </c>
    </row>
    <row r="32" spans="2:16" x14ac:dyDescent="0.3">
      <c r="B32" s="3">
        <v>100</v>
      </c>
      <c r="C32" s="3">
        <v>0.78539999999999999</v>
      </c>
      <c r="D32" s="6">
        <f t="shared" si="0"/>
        <v>1.6666666666666667</v>
      </c>
      <c r="E32" s="6">
        <f t="shared" si="1"/>
        <v>0</v>
      </c>
      <c r="F32" s="3">
        <f t="shared" si="2"/>
        <v>1</v>
      </c>
      <c r="G32" s="3">
        <f t="shared" si="3"/>
        <v>0</v>
      </c>
      <c r="H32" s="6">
        <f t="shared" si="4"/>
        <v>60</v>
      </c>
      <c r="I32" s="6">
        <f t="shared" si="5"/>
        <v>76.39419404125286</v>
      </c>
      <c r="J32" s="6">
        <f t="shared" si="6"/>
        <v>76.331199999999995</v>
      </c>
      <c r="K32" s="1">
        <f t="shared" si="7"/>
        <v>-8.2459199999998997E-2</v>
      </c>
      <c r="L32" s="1">
        <f t="shared" si="8"/>
        <v>0.86394740754622035</v>
      </c>
      <c r="M32" s="1">
        <f t="shared" si="9"/>
        <v>-13.605259245377965</v>
      </c>
    </row>
  </sheetData>
  <mergeCells count="2">
    <mergeCell ref="D10:E10"/>
    <mergeCell ref="F10:G10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O32"/>
  <sheetViews>
    <sheetView topLeftCell="A6" workbookViewId="0">
      <selection activeCell="A12" sqref="A12"/>
    </sheetView>
  </sheetViews>
  <sheetFormatPr baseColWidth="10" defaultRowHeight="14.4" x14ac:dyDescent="0.3"/>
  <sheetData>
    <row r="2" spans="2:15" x14ac:dyDescent="0.3">
      <c r="B2" t="s">
        <v>0</v>
      </c>
    </row>
    <row r="3" spans="2:15" x14ac:dyDescent="0.3">
      <c r="B3" t="s">
        <v>1</v>
      </c>
    </row>
    <row r="4" spans="2:15" x14ac:dyDescent="0.3">
      <c r="B4" t="s">
        <v>2</v>
      </c>
    </row>
    <row r="6" spans="2:15" x14ac:dyDescent="0.3">
      <c r="B6" t="s">
        <v>3</v>
      </c>
    </row>
    <row r="7" spans="2:15" ht="15.6" x14ac:dyDescent="0.35">
      <c r="B7" t="s">
        <v>61</v>
      </c>
    </row>
    <row r="8" spans="2:15" ht="15.6" x14ac:dyDescent="0.35">
      <c r="D8" s="10" t="s">
        <v>38</v>
      </c>
      <c r="E8" s="3">
        <v>92</v>
      </c>
    </row>
    <row r="9" spans="2:15" ht="15.6" x14ac:dyDescent="0.35">
      <c r="D9" s="3" t="s">
        <v>7</v>
      </c>
      <c r="E9" s="3">
        <v>18</v>
      </c>
    </row>
    <row r="10" spans="2:15" x14ac:dyDescent="0.3">
      <c r="B10" s="3"/>
      <c r="C10" s="3"/>
      <c r="D10" s="60" t="s">
        <v>6</v>
      </c>
      <c r="E10" s="60"/>
      <c r="F10" s="61" t="s">
        <v>10</v>
      </c>
      <c r="G10" s="62"/>
      <c r="H10" s="3" t="s">
        <v>11</v>
      </c>
      <c r="I10" s="3" t="s">
        <v>13</v>
      </c>
      <c r="J10" s="3" t="s">
        <v>13</v>
      </c>
    </row>
    <row r="11" spans="2:15" ht="15.6" x14ac:dyDescent="0.35">
      <c r="B11" s="10" t="s">
        <v>62</v>
      </c>
      <c r="C11" s="3" t="s">
        <v>4</v>
      </c>
      <c r="D11" s="10" t="s">
        <v>38</v>
      </c>
      <c r="E11" s="3" t="s">
        <v>7</v>
      </c>
      <c r="F11" s="10" t="s">
        <v>38</v>
      </c>
      <c r="G11" s="3" t="s">
        <v>7</v>
      </c>
      <c r="H11" s="7" t="s">
        <v>12</v>
      </c>
      <c r="I11" s="3" t="s">
        <v>14</v>
      </c>
      <c r="J11" s="3" t="s">
        <v>14</v>
      </c>
    </row>
    <row r="12" spans="2:15" x14ac:dyDescent="0.3">
      <c r="B12" s="3">
        <v>0</v>
      </c>
      <c r="C12" s="3">
        <v>0.99819999999999998</v>
      </c>
      <c r="D12" s="6">
        <f>B12/$E$8</f>
        <v>0</v>
      </c>
      <c r="E12" s="6">
        <f>(100-B12)/$E$9</f>
        <v>5.5555555555555554</v>
      </c>
      <c r="F12" s="3">
        <f>D12/(D12+E12)</f>
        <v>0</v>
      </c>
      <c r="G12" s="3">
        <f>1-F12</f>
        <v>1</v>
      </c>
      <c r="H12" s="6">
        <f>F12*$E$8+G12*$E$9</f>
        <v>18</v>
      </c>
      <c r="I12" s="6">
        <f>H12/C12</f>
        <v>18.032458425165299</v>
      </c>
      <c r="J12" s="6">
        <f>1.414*F12^2+53.635*F12+17.954</f>
        <v>17.954000000000001</v>
      </c>
      <c r="K12" s="1">
        <f>(J12-I12)*100/I12</f>
        <v>-0.43509555555555807</v>
      </c>
      <c r="M12" t="s">
        <v>29</v>
      </c>
      <c r="N12">
        <v>4000</v>
      </c>
      <c r="O12" t="s">
        <v>21</v>
      </c>
    </row>
    <row r="13" spans="2:15" x14ac:dyDescent="0.3">
      <c r="B13" s="3">
        <v>5</v>
      </c>
      <c r="C13">
        <v>1.0101500000000001</v>
      </c>
      <c r="D13" s="6">
        <f t="shared" ref="D13:D32" si="0">B13/$E$8</f>
        <v>5.434782608695652E-2</v>
      </c>
      <c r="E13" s="6">
        <f t="shared" ref="E13:E32" si="1">(100-B13)/$E$9</f>
        <v>5.2777777777777777</v>
      </c>
      <c r="F13" s="6">
        <f t="shared" ref="F13:F32" si="2">D13/(D13+E13)</f>
        <v>1.0192525481313703E-2</v>
      </c>
      <c r="G13" s="6">
        <f t="shared" ref="G13:G32" si="3">1-F13</f>
        <v>0.98980747451868634</v>
      </c>
      <c r="H13" s="6">
        <f t="shared" ref="H13:H32" si="4">F13*$E$8+G13*$E$9</f>
        <v>18.754246885617214</v>
      </c>
      <c r="I13" s="6">
        <f t="shared" ref="I13:I32" si="5">H13/C13</f>
        <v>18.565803975268238</v>
      </c>
      <c r="J13" s="6">
        <f t="shared" ref="J13:J32" si="6">1.414*F13^2+53.635*F13+17.954</f>
        <v>18.500823001222283</v>
      </c>
      <c r="K13" s="1">
        <f t="shared" ref="K13:K32" si="7">(J13-I13)*100/I13</f>
        <v>-0.35000355563657415</v>
      </c>
      <c r="M13" t="s">
        <v>18</v>
      </c>
      <c r="N13">
        <v>0.90690000000000004</v>
      </c>
      <c r="O13" t="s">
        <v>19</v>
      </c>
    </row>
    <row r="14" spans="2:15" x14ac:dyDescent="0.3">
      <c r="B14" s="3">
        <v>10</v>
      </c>
      <c r="C14" s="9">
        <v>1.0221</v>
      </c>
      <c r="D14" s="6">
        <f t="shared" si="0"/>
        <v>0.10869565217391304</v>
      </c>
      <c r="E14" s="6">
        <f t="shared" si="1"/>
        <v>5</v>
      </c>
      <c r="F14" s="6">
        <f t="shared" si="2"/>
        <v>2.1276595744680851E-2</v>
      </c>
      <c r="G14" s="6">
        <f t="shared" si="3"/>
        <v>0.97872340425531912</v>
      </c>
      <c r="H14" s="6">
        <f t="shared" si="4"/>
        <v>19.574468085106382</v>
      </c>
      <c r="I14" s="6">
        <f t="shared" si="5"/>
        <v>19.151225990711655</v>
      </c>
      <c r="J14" s="6">
        <f t="shared" si="6"/>
        <v>19.095810321412404</v>
      </c>
      <c r="K14" s="1">
        <f t="shared" si="7"/>
        <v>-0.28935833834412106</v>
      </c>
      <c r="M14" t="s">
        <v>30</v>
      </c>
      <c r="N14">
        <v>0.23</v>
      </c>
    </row>
    <row r="15" spans="2:15" x14ac:dyDescent="0.3">
      <c r="B15" s="3">
        <v>15</v>
      </c>
      <c r="C15">
        <v>1.0345</v>
      </c>
      <c r="D15" s="6">
        <f t="shared" si="0"/>
        <v>0.16304347826086957</v>
      </c>
      <c r="E15" s="6">
        <f t="shared" si="1"/>
        <v>4.7222222222222223</v>
      </c>
      <c r="F15" s="6">
        <f t="shared" si="2"/>
        <v>3.3374536464771322E-2</v>
      </c>
      <c r="G15" s="6">
        <f t="shared" si="3"/>
        <v>0.96662546353522871</v>
      </c>
      <c r="H15" s="6">
        <f t="shared" si="4"/>
        <v>20.469715698393077</v>
      </c>
      <c r="I15" s="6">
        <f t="shared" si="5"/>
        <v>19.787062057412353</v>
      </c>
      <c r="J15" s="6">
        <f t="shared" si="6"/>
        <v>19.745618260881525</v>
      </c>
      <c r="K15" s="1">
        <f t="shared" si="7"/>
        <v>-0.20944896423015455</v>
      </c>
      <c r="M15" t="s">
        <v>31</v>
      </c>
      <c r="N15" s="8">
        <f>1.414*N14^2+53.635*N14+17.954</f>
        <v>30.3648506</v>
      </c>
      <c r="O15" t="s">
        <v>14</v>
      </c>
    </row>
    <row r="16" spans="2:15" x14ac:dyDescent="0.3">
      <c r="B16" s="3">
        <v>20</v>
      </c>
      <c r="C16">
        <v>1.0569</v>
      </c>
      <c r="D16" s="6">
        <f t="shared" si="0"/>
        <v>0.21739130434782608</v>
      </c>
      <c r="E16" s="6">
        <f t="shared" si="1"/>
        <v>4.4444444444444446</v>
      </c>
      <c r="F16" s="6">
        <f t="shared" si="2"/>
        <v>4.6632124352331605E-2</v>
      </c>
      <c r="G16" s="6">
        <f t="shared" si="3"/>
        <v>0.95336787564766845</v>
      </c>
      <c r="H16" s="6">
        <f t="shared" si="4"/>
        <v>21.45077720207254</v>
      </c>
      <c r="I16" s="6">
        <f t="shared" si="5"/>
        <v>20.295938312113297</v>
      </c>
      <c r="J16" s="6">
        <f t="shared" si="6"/>
        <v>20.458188810437864</v>
      </c>
      <c r="K16" s="1">
        <f t="shared" si="7"/>
        <v>0.79942348971237798</v>
      </c>
    </row>
    <row r="17" spans="2:15" x14ac:dyDescent="0.3">
      <c r="B17" s="3">
        <v>25</v>
      </c>
      <c r="C17" s="3">
        <v>1.0598000000000001</v>
      </c>
      <c r="D17" s="6">
        <f t="shared" si="0"/>
        <v>0.27173913043478259</v>
      </c>
      <c r="E17" s="6">
        <f t="shared" si="1"/>
        <v>4.166666666666667</v>
      </c>
      <c r="F17" s="6">
        <f t="shared" si="2"/>
        <v>6.1224489795918366E-2</v>
      </c>
      <c r="G17" s="6">
        <f t="shared" si="3"/>
        <v>0.93877551020408168</v>
      </c>
      <c r="H17" s="6">
        <f t="shared" si="4"/>
        <v>22.530612244897959</v>
      </c>
      <c r="I17" s="6">
        <f t="shared" si="5"/>
        <v>21.259305760424567</v>
      </c>
      <c r="J17" s="6">
        <f t="shared" si="6"/>
        <v>21.243075801749271</v>
      </c>
      <c r="K17" s="1">
        <f t="shared" si="7"/>
        <v>-7.6342844202888033E-2</v>
      </c>
      <c r="M17" t="s">
        <v>32</v>
      </c>
      <c r="N17" s="8">
        <f>N12*1000/N15</f>
        <v>131731.2590367232</v>
      </c>
    </row>
    <row r="18" spans="2:15" x14ac:dyDescent="0.3">
      <c r="B18" s="3">
        <v>30</v>
      </c>
      <c r="C18" s="4">
        <v>1.0727</v>
      </c>
      <c r="D18" s="6">
        <f t="shared" si="0"/>
        <v>0.32608695652173914</v>
      </c>
      <c r="E18" s="6">
        <f t="shared" si="1"/>
        <v>3.8888888888888888</v>
      </c>
      <c r="F18" s="6">
        <f t="shared" si="2"/>
        <v>7.7363896848137548E-2</v>
      </c>
      <c r="G18" s="6">
        <f t="shared" si="3"/>
        <v>0.9226361031518624</v>
      </c>
      <c r="H18" s="6">
        <f t="shared" si="4"/>
        <v>23.724928366762178</v>
      </c>
      <c r="I18" s="6">
        <f t="shared" si="5"/>
        <v>22.117020944124338</v>
      </c>
      <c r="J18" s="6">
        <f t="shared" si="6"/>
        <v>22.111875641415097</v>
      </c>
      <c r="K18" s="1">
        <f t="shared" si="7"/>
        <v>-2.3263995283272179E-2</v>
      </c>
      <c r="M18" t="s">
        <v>33</v>
      </c>
      <c r="N18" s="8">
        <f>N17*N14</f>
        <v>30298.189578446338</v>
      </c>
    </row>
    <row r="19" spans="2:15" x14ac:dyDescent="0.3">
      <c r="B19" s="3">
        <v>35</v>
      </c>
      <c r="C19">
        <v>1.0860000000000001</v>
      </c>
      <c r="D19" s="6">
        <f t="shared" si="0"/>
        <v>0.38043478260869568</v>
      </c>
      <c r="E19" s="6">
        <f t="shared" si="1"/>
        <v>3.6111111111111112</v>
      </c>
      <c r="F19" s="6">
        <f t="shared" si="2"/>
        <v>9.5310136157337369E-2</v>
      </c>
      <c r="G19" s="6">
        <f t="shared" si="3"/>
        <v>0.90468986384266259</v>
      </c>
      <c r="H19" s="6">
        <f t="shared" si="4"/>
        <v>25.052950075642965</v>
      </c>
      <c r="I19" s="6">
        <f t="shared" si="5"/>
        <v>23.069014802617829</v>
      </c>
      <c r="J19" s="6">
        <f t="shared" si="6"/>
        <v>23.078803959983613</v>
      </c>
      <c r="K19" s="1">
        <f t="shared" si="7"/>
        <v>4.2434223782600165E-2</v>
      </c>
      <c r="M19" t="s">
        <v>34</v>
      </c>
      <c r="N19" s="8">
        <f>N17-N18</f>
        <v>101433.06945827686</v>
      </c>
    </row>
    <row r="20" spans="2:15" x14ac:dyDescent="0.3">
      <c r="B20" s="3">
        <v>40</v>
      </c>
      <c r="C20">
        <v>1.0992999999999999</v>
      </c>
      <c r="D20" s="6">
        <f t="shared" si="0"/>
        <v>0.43478260869565216</v>
      </c>
      <c r="E20" s="6">
        <f t="shared" si="1"/>
        <v>3.3333333333333335</v>
      </c>
      <c r="F20" s="6">
        <f t="shared" si="2"/>
        <v>0.11538461538461538</v>
      </c>
      <c r="G20" s="6">
        <f t="shared" si="3"/>
        <v>0.88461538461538458</v>
      </c>
      <c r="H20" s="6">
        <f t="shared" si="4"/>
        <v>26.53846153846154</v>
      </c>
      <c r="I20" s="6">
        <f t="shared" si="5"/>
        <v>24.141236731066627</v>
      </c>
      <c r="J20" s="6">
        <f t="shared" si="6"/>
        <v>24.161479289940829</v>
      </c>
      <c r="K20" s="1">
        <f t="shared" si="7"/>
        <v>8.3850546265312673E-2</v>
      </c>
      <c r="N20" s="8"/>
    </row>
    <row r="21" spans="2:15" x14ac:dyDescent="0.3">
      <c r="B21" s="3">
        <v>45</v>
      </c>
      <c r="C21">
        <v>1.1128</v>
      </c>
      <c r="D21" s="6">
        <f t="shared" si="0"/>
        <v>0.4891304347826087</v>
      </c>
      <c r="E21" s="6">
        <f t="shared" si="1"/>
        <v>3.0555555555555554</v>
      </c>
      <c r="F21" s="6">
        <f t="shared" si="2"/>
        <v>0.13798977853492334</v>
      </c>
      <c r="G21" s="6">
        <f t="shared" si="3"/>
        <v>0.86201022146507666</v>
      </c>
      <c r="H21" s="6">
        <f t="shared" si="4"/>
        <v>28.211243611584329</v>
      </c>
      <c r="I21" s="6">
        <f t="shared" si="5"/>
        <v>25.351584841466867</v>
      </c>
      <c r="J21" s="6">
        <f t="shared" si="6"/>
        <v>25.382005998798498</v>
      </c>
      <c r="K21" s="1">
        <f t="shared" si="7"/>
        <v>0.11999706338623786</v>
      </c>
      <c r="M21" t="s">
        <v>35</v>
      </c>
      <c r="N21" s="8">
        <f>N18*I32/1000</f>
        <v>2210.3541735790454</v>
      </c>
      <c r="O21" t="s">
        <v>21</v>
      </c>
    </row>
    <row r="22" spans="2:15" x14ac:dyDescent="0.3">
      <c r="B22" s="3">
        <v>50</v>
      </c>
      <c r="C22" s="3">
        <v>1.1263000000000001</v>
      </c>
      <c r="D22" s="6">
        <f t="shared" si="0"/>
        <v>0.54347826086956519</v>
      </c>
      <c r="E22" s="6">
        <f t="shared" si="1"/>
        <v>2.7777777777777777</v>
      </c>
      <c r="F22" s="6">
        <f t="shared" si="2"/>
        <v>0.16363636363636364</v>
      </c>
      <c r="G22" s="6">
        <f t="shared" si="3"/>
        <v>0.83636363636363642</v>
      </c>
      <c r="H22" s="6">
        <f t="shared" si="4"/>
        <v>30.109090909090909</v>
      </c>
      <c r="I22" s="6">
        <f t="shared" si="5"/>
        <v>26.732745191415169</v>
      </c>
      <c r="J22" s="6">
        <f t="shared" si="6"/>
        <v>26.768498842975205</v>
      </c>
      <c r="K22" s="1">
        <f t="shared" si="7"/>
        <v>0.13374478118138652</v>
      </c>
      <c r="M22" t="s">
        <v>36</v>
      </c>
      <c r="N22" s="8">
        <f>N19*I12/1000</f>
        <v>1829.0876079432815</v>
      </c>
    </row>
    <row r="23" spans="2:15" x14ac:dyDescent="0.3">
      <c r="B23" s="3">
        <v>55</v>
      </c>
      <c r="C23" s="3">
        <v>1.14005</v>
      </c>
      <c r="D23" s="6">
        <f t="shared" si="0"/>
        <v>0.59782608695652173</v>
      </c>
      <c r="E23" s="6">
        <f t="shared" si="1"/>
        <v>2.5</v>
      </c>
      <c r="F23" s="6">
        <f t="shared" si="2"/>
        <v>0.19298245614035089</v>
      </c>
      <c r="G23" s="6">
        <f t="shared" si="3"/>
        <v>0.80701754385964908</v>
      </c>
      <c r="H23" s="6">
        <f t="shared" si="4"/>
        <v>32.280701754385966</v>
      </c>
      <c r="I23" s="6">
        <f t="shared" si="5"/>
        <v>28.315163154586173</v>
      </c>
      <c r="J23" s="6">
        <f t="shared" si="6"/>
        <v>28.35727454601416</v>
      </c>
      <c r="K23" s="1">
        <f t="shared" si="7"/>
        <v>0.14872381698131382</v>
      </c>
      <c r="N23" s="8"/>
    </row>
    <row r="24" spans="2:15" x14ac:dyDescent="0.3">
      <c r="B24" s="3">
        <v>60</v>
      </c>
      <c r="C24" s="3">
        <v>1.1537999999999999</v>
      </c>
      <c r="D24" s="6">
        <f t="shared" si="0"/>
        <v>0.65217391304347827</v>
      </c>
      <c r="E24" s="6">
        <f t="shared" si="1"/>
        <v>2.2222222222222223</v>
      </c>
      <c r="F24" s="6">
        <f t="shared" si="2"/>
        <v>0.22689075630252098</v>
      </c>
      <c r="G24" s="6">
        <f t="shared" si="3"/>
        <v>0.77310924369747902</v>
      </c>
      <c r="H24" s="6">
        <f t="shared" si="4"/>
        <v>34.789915966386552</v>
      </c>
      <c r="I24" s="6">
        <f t="shared" si="5"/>
        <v>30.152466602865793</v>
      </c>
      <c r="J24" s="6">
        <f t="shared" si="6"/>
        <v>30.196077607513594</v>
      </c>
      <c r="K24" s="1">
        <f t="shared" si="7"/>
        <v>0.14463494884911246</v>
      </c>
      <c r="M24" t="s">
        <v>37</v>
      </c>
      <c r="N24" s="8">
        <f>N21+N22</f>
        <v>4039.4417815223269</v>
      </c>
    </row>
    <row r="25" spans="2:15" x14ac:dyDescent="0.3">
      <c r="B25" s="3">
        <v>65</v>
      </c>
      <c r="C25">
        <v>1.1675</v>
      </c>
      <c r="D25" s="6">
        <f t="shared" si="0"/>
        <v>0.70652173913043481</v>
      </c>
      <c r="E25" s="6">
        <f t="shared" si="1"/>
        <v>1.9444444444444444</v>
      </c>
      <c r="F25" s="6">
        <f t="shared" si="2"/>
        <v>0.26651480637813213</v>
      </c>
      <c r="G25" s="6">
        <f t="shared" si="3"/>
        <v>0.73348519362186781</v>
      </c>
      <c r="H25" s="6">
        <f t="shared" si="4"/>
        <v>37.722095671981776</v>
      </c>
      <c r="I25" s="6">
        <f t="shared" si="5"/>
        <v>32.310146185851629</v>
      </c>
      <c r="J25" s="6">
        <f t="shared" si="6"/>
        <v>32.348958260905661</v>
      </c>
      <c r="K25" s="1">
        <f t="shared" si="7"/>
        <v>0.1201234894784472</v>
      </c>
    </row>
    <row r="26" spans="2:15" x14ac:dyDescent="0.3">
      <c r="B26" s="3">
        <v>70</v>
      </c>
      <c r="C26">
        <v>1.1783999999999999</v>
      </c>
      <c r="D26" s="6">
        <f t="shared" si="0"/>
        <v>0.76086956521739135</v>
      </c>
      <c r="E26" s="6">
        <f t="shared" si="1"/>
        <v>1.6666666666666667</v>
      </c>
      <c r="F26" s="6">
        <f t="shared" si="2"/>
        <v>0.31343283582089554</v>
      </c>
      <c r="G26" s="6">
        <f t="shared" si="3"/>
        <v>0.68656716417910446</v>
      </c>
      <c r="H26" s="6">
        <f t="shared" si="4"/>
        <v>41.194029850746269</v>
      </c>
      <c r="I26" s="6">
        <f t="shared" si="5"/>
        <v>34.957594917469685</v>
      </c>
      <c r="J26" s="6">
        <f t="shared" si="6"/>
        <v>34.903881710848736</v>
      </c>
      <c r="K26" s="1">
        <f t="shared" si="7"/>
        <v>-0.15365246593124582</v>
      </c>
    </row>
    <row r="27" spans="2:15" x14ac:dyDescent="0.3">
      <c r="B27" s="3">
        <v>75</v>
      </c>
      <c r="C27">
        <v>1.19485</v>
      </c>
      <c r="D27" s="6">
        <f t="shared" si="0"/>
        <v>0.81521739130434778</v>
      </c>
      <c r="E27" s="6">
        <f t="shared" si="1"/>
        <v>1.3888888888888888</v>
      </c>
      <c r="F27" s="6">
        <f t="shared" si="2"/>
        <v>0.36986301369863017</v>
      </c>
      <c r="G27" s="6">
        <f t="shared" si="3"/>
        <v>0.63013698630136983</v>
      </c>
      <c r="H27" s="6">
        <f t="shared" si="4"/>
        <v>45.369863013698634</v>
      </c>
      <c r="I27" s="6">
        <f t="shared" si="5"/>
        <v>37.971178820520265</v>
      </c>
      <c r="J27" s="6">
        <f t="shared" si="6"/>
        <v>37.985036029273786</v>
      </c>
      <c r="K27" s="1">
        <f t="shared" si="7"/>
        <v>3.6494017789177123E-2</v>
      </c>
    </row>
    <row r="28" spans="2:15" x14ac:dyDescent="0.3">
      <c r="B28" s="3">
        <v>80</v>
      </c>
      <c r="C28">
        <v>1.2084999999999999</v>
      </c>
      <c r="D28" s="6">
        <f t="shared" si="0"/>
        <v>0.86956521739130432</v>
      </c>
      <c r="E28" s="6">
        <f t="shared" si="1"/>
        <v>1.1111111111111112</v>
      </c>
      <c r="F28" s="6">
        <f t="shared" si="2"/>
        <v>0.43902439024390244</v>
      </c>
      <c r="G28" s="6">
        <f t="shared" si="3"/>
        <v>0.56097560975609762</v>
      </c>
      <c r="H28" s="6">
        <f t="shared" si="4"/>
        <v>50.487804878048777</v>
      </c>
      <c r="I28" s="6">
        <f t="shared" si="5"/>
        <v>41.777248554446651</v>
      </c>
      <c r="J28" s="6">
        <f t="shared" si="6"/>
        <v>41.773610945865556</v>
      </c>
      <c r="K28" s="1">
        <f t="shared" si="7"/>
        <v>-8.7071521149927941E-3</v>
      </c>
    </row>
    <row r="29" spans="2:15" x14ac:dyDescent="0.3">
      <c r="B29" s="3">
        <v>85</v>
      </c>
      <c r="C29">
        <v>1.2218</v>
      </c>
      <c r="D29" s="6">
        <f t="shared" si="0"/>
        <v>0.92391304347826086</v>
      </c>
      <c r="E29" s="6">
        <f t="shared" si="1"/>
        <v>0.83333333333333337</v>
      </c>
      <c r="F29" s="6">
        <f t="shared" si="2"/>
        <v>0.52577319587628868</v>
      </c>
      <c r="G29" s="6">
        <f t="shared" si="3"/>
        <v>0.47422680412371132</v>
      </c>
      <c r="H29" s="6">
        <f t="shared" si="4"/>
        <v>56.907216494845358</v>
      </c>
      <c r="I29" s="6">
        <f t="shared" si="5"/>
        <v>46.57653993685166</v>
      </c>
      <c r="J29" s="6">
        <f t="shared" si="6"/>
        <v>46.544727920076525</v>
      </c>
      <c r="K29" s="1">
        <f t="shared" si="7"/>
        <v>-6.8300515277144258E-2</v>
      </c>
    </row>
    <row r="30" spans="2:15" x14ac:dyDescent="0.3">
      <c r="B30" s="3">
        <v>90</v>
      </c>
      <c r="C30">
        <v>1.2351000000000001</v>
      </c>
      <c r="D30" s="6">
        <f t="shared" si="0"/>
        <v>0.97826086956521741</v>
      </c>
      <c r="E30" s="6">
        <f t="shared" si="1"/>
        <v>0.55555555555555558</v>
      </c>
      <c r="F30" s="6">
        <f t="shared" si="2"/>
        <v>0.63779527559055116</v>
      </c>
      <c r="G30" s="6">
        <f t="shared" si="3"/>
        <v>0.36220472440944884</v>
      </c>
      <c r="H30" s="6">
        <f t="shared" si="4"/>
        <v>65.196850393700785</v>
      </c>
      <c r="I30" s="6">
        <f t="shared" si="5"/>
        <v>52.786697752166447</v>
      </c>
      <c r="J30" s="6">
        <f t="shared" si="6"/>
        <v>52.737340504681008</v>
      </c>
      <c r="K30" s="1">
        <f t="shared" si="7"/>
        <v>-9.3503192257206894E-2</v>
      </c>
    </row>
    <row r="31" spans="2:15" x14ac:dyDescent="0.3">
      <c r="B31" s="3">
        <v>95</v>
      </c>
      <c r="C31">
        <v>1.2482500000000001</v>
      </c>
      <c r="D31" s="6">
        <f t="shared" si="0"/>
        <v>1.0326086956521738</v>
      </c>
      <c r="E31" s="6">
        <f t="shared" si="1"/>
        <v>0.27777777777777779</v>
      </c>
      <c r="F31" s="6">
        <f t="shared" si="2"/>
        <v>0.78801843317972353</v>
      </c>
      <c r="G31" s="6">
        <f t="shared" si="3"/>
        <v>0.21198156682027647</v>
      </c>
      <c r="H31" s="6">
        <f t="shared" si="4"/>
        <v>76.313364055299544</v>
      </c>
      <c r="I31" s="6">
        <f t="shared" si="5"/>
        <v>61.136282039094361</v>
      </c>
      <c r="J31" s="6">
        <f t="shared" si="6"/>
        <v>61.097424557752348</v>
      </c>
      <c r="K31" s="1">
        <f t="shared" si="7"/>
        <v>-6.35587903712653E-2</v>
      </c>
    </row>
    <row r="32" spans="2:15" x14ac:dyDescent="0.3">
      <c r="B32" s="3">
        <v>100</v>
      </c>
      <c r="C32">
        <v>1.26108</v>
      </c>
      <c r="D32" s="6">
        <f t="shared" si="0"/>
        <v>1.0869565217391304</v>
      </c>
      <c r="E32" s="6">
        <f t="shared" si="1"/>
        <v>0</v>
      </c>
      <c r="F32" s="3">
        <f t="shared" si="2"/>
        <v>1</v>
      </c>
      <c r="G32" s="3">
        <f t="shared" si="3"/>
        <v>0</v>
      </c>
      <c r="H32" s="6">
        <f t="shared" si="4"/>
        <v>92</v>
      </c>
      <c r="I32" s="6">
        <f t="shared" si="5"/>
        <v>72.953341580232816</v>
      </c>
      <c r="J32" s="6">
        <f t="shared" si="6"/>
        <v>73.003</v>
      </c>
      <c r="K32" s="1">
        <f t="shared" si="7"/>
        <v>6.8068739130434749E-2</v>
      </c>
    </row>
  </sheetData>
  <mergeCells count="2">
    <mergeCell ref="D10:E10"/>
    <mergeCell ref="F10:G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Etanol-agua</vt:lpstr>
      <vt:lpstr>Ác.sulfúrico-agua</vt:lpstr>
      <vt:lpstr>fosfórico-agua</vt:lpstr>
      <vt:lpstr>isopropíl-agua</vt:lpstr>
      <vt:lpstr>Glicerol-agua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Teodardo</cp:lastModifiedBy>
  <dcterms:created xsi:type="dcterms:W3CDTF">2022-05-21T22:11:34Z</dcterms:created>
  <dcterms:modified xsi:type="dcterms:W3CDTF">2026-04-20T19:49:20Z</dcterms:modified>
</cp:coreProperties>
</file>