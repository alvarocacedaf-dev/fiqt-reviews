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odardo\Downloads\"/>
    </mc:Choice>
  </mc:AlternateContent>
  <xr:revisionPtr revIDLastSave="0" documentId="13_ncr:1_{BC43F973-4506-458E-86DA-2ADA1950E365}" xr6:coauthVersionLast="47" xr6:coauthVersionMax="47" xr10:uidLastSave="{00000000-0000-0000-0000-000000000000}"/>
  <bookViews>
    <workbookView xWindow="-108" yWindow="-108" windowWidth="23256" windowHeight="12456" activeTab="1" xr2:uid="{F40769F8-09F6-421D-BEC3-B4F7A7FD78D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3" i="2"/>
  <c r="L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1" i="2"/>
  <c r="K33" i="2"/>
  <c r="K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1" i="2"/>
  <c r="J33" i="2"/>
  <c r="J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10" i="2"/>
  <c r="J30" i="1"/>
  <c r="K28" i="1"/>
  <c r="L28" i="1"/>
  <c r="J28" i="1"/>
  <c r="I9" i="1"/>
  <c r="L9" i="1" s="1"/>
  <c r="I10" i="1"/>
  <c r="I11" i="1"/>
  <c r="I12" i="1"/>
  <c r="I13" i="1"/>
  <c r="I14" i="1"/>
  <c r="L14" i="1" s="1"/>
  <c r="I15" i="1"/>
  <c r="L15" i="1" s="1"/>
  <c r="I16" i="1"/>
  <c r="L16" i="1" s="1"/>
  <c r="I17" i="1"/>
  <c r="I18" i="1"/>
  <c r="I19" i="1"/>
  <c r="I20" i="1"/>
  <c r="I21" i="1"/>
  <c r="L21" i="1" s="1"/>
  <c r="I22" i="1"/>
  <c r="I23" i="1"/>
  <c r="I24" i="1"/>
  <c r="I25" i="1"/>
  <c r="I26" i="1"/>
  <c r="L26" i="1" s="1"/>
  <c r="I27" i="1"/>
  <c r="L27" i="1" s="1"/>
  <c r="I28" i="1"/>
  <c r="I29" i="1"/>
  <c r="I30" i="1"/>
  <c r="I31" i="1"/>
  <c r="I8" i="1"/>
  <c r="L8" i="1" s="1"/>
  <c r="H9" i="1"/>
  <c r="H10" i="1"/>
  <c r="H11" i="1"/>
  <c r="H12" i="1"/>
  <c r="H13" i="1"/>
  <c r="K13" i="1" s="1"/>
  <c r="H14" i="1"/>
  <c r="K14" i="1" s="1"/>
  <c r="H15" i="1"/>
  <c r="K15" i="1" s="1"/>
  <c r="H16" i="1"/>
  <c r="H17" i="1"/>
  <c r="H18" i="1"/>
  <c r="K18" i="1" s="1"/>
  <c r="H19" i="1"/>
  <c r="K19" i="1" s="1"/>
  <c r="H20" i="1"/>
  <c r="K20" i="1" s="1"/>
  <c r="H21" i="1"/>
  <c r="H22" i="1"/>
  <c r="H23" i="1"/>
  <c r="K23" i="1" s="1"/>
  <c r="H24" i="1"/>
  <c r="H25" i="1"/>
  <c r="H26" i="1"/>
  <c r="H27" i="1"/>
  <c r="H28" i="1"/>
  <c r="H29" i="1"/>
  <c r="K29" i="1" s="1"/>
  <c r="H30" i="1"/>
  <c r="K30" i="1" s="1"/>
  <c r="H31" i="1"/>
  <c r="K31" i="1" s="1"/>
  <c r="H8" i="1"/>
  <c r="G9" i="1"/>
  <c r="G10" i="1"/>
  <c r="G11" i="1"/>
  <c r="G12" i="1"/>
  <c r="G13" i="1"/>
  <c r="J13" i="1" s="1"/>
  <c r="G14" i="1"/>
  <c r="J14" i="1" s="1"/>
  <c r="G15" i="1"/>
  <c r="G16" i="1"/>
  <c r="G17" i="1"/>
  <c r="J17" i="1" s="1"/>
  <c r="G18" i="1"/>
  <c r="J18" i="1" s="1"/>
  <c r="G19" i="1"/>
  <c r="J19" i="1" s="1"/>
  <c r="G20" i="1"/>
  <c r="J20" i="1" s="1"/>
  <c r="G21" i="1"/>
  <c r="G22" i="1"/>
  <c r="G23" i="1"/>
  <c r="G24" i="1"/>
  <c r="G25" i="1"/>
  <c r="J25" i="1" s="1"/>
  <c r="G26" i="1"/>
  <c r="J26" i="1" s="1"/>
  <c r="G27" i="1"/>
  <c r="G28" i="1"/>
  <c r="G29" i="1"/>
  <c r="J29" i="1" s="1"/>
  <c r="G30" i="1"/>
  <c r="G31" i="1"/>
  <c r="J31" i="1" s="1"/>
  <c r="G8" i="1"/>
  <c r="J9" i="1"/>
  <c r="K9" i="1"/>
  <c r="J10" i="1"/>
  <c r="K10" i="1"/>
  <c r="L10" i="1"/>
  <c r="J11" i="1"/>
  <c r="K11" i="1"/>
  <c r="L11" i="1"/>
  <c r="J12" i="1"/>
  <c r="K12" i="1"/>
  <c r="L12" i="1"/>
  <c r="L13" i="1"/>
  <c r="J15" i="1"/>
  <c r="J16" i="1"/>
  <c r="K16" i="1"/>
  <c r="K17" i="1"/>
  <c r="L17" i="1"/>
  <c r="L18" i="1"/>
  <c r="L19" i="1"/>
  <c r="L20" i="1"/>
  <c r="J21" i="1"/>
  <c r="K21" i="1"/>
  <c r="J22" i="1"/>
  <c r="K22" i="1"/>
  <c r="L22" i="1"/>
  <c r="J23" i="1"/>
  <c r="L23" i="1"/>
  <c r="J24" i="1"/>
  <c r="K24" i="1"/>
  <c r="L24" i="1"/>
  <c r="K25" i="1"/>
  <c r="L25" i="1"/>
  <c r="K26" i="1"/>
  <c r="J27" i="1"/>
  <c r="K27" i="1"/>
  <c r="L29" i="1"/>
  <c r="L30" i="1"/>
  <c r="L31" i="1"/>
  <c r="K8" i="1"/>
  <c r="J8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9" i="1"/>
</calcChain>
</file>

<file path=xl/sharedStrings.xml><?xml version="1.0" encoding="utf-8"?>
<sst xmlns="http://schemas.openxmlformats.org/spreadsheetml/2006/main" count="55" uniqueCount="20">
  <si>
    <t>Sistema agua-cloroformo-ácido acético</t>
  </si>
  <si>
    <t>Formación de curva binodal</t>
  </si>
  <si>
    <t>Mezcla Nro</t>
  </si>
  <si>
    <t>Agua</t>
  </si>
  <si>
    <t>%agua</t>
  </si>
  <si>
    <t>%cloroformo</t>
  </si>
  <si>
    <t>%acido acético</t>
  </si>
  <si>
    <t>cloroformo</t>
  </si>
  <si>
    <t>acético</t>
  </si>
  <si>
    <t>densidad (g/mL) a 20 °C</t>
  </si>
  <si>
    <t>Vol agua</t>
  </si>
  <si>
    <t>Vol Cloroformo</t>
  </si>
  <si>
    <t>Vol acético</t>
  </si>
  <si>
    <t>Volumen (mL)</t>
  </si>
  <si>
    <t xml:space="preserve"> Cloroformo</t>
  </si>
  <si>
    <t>inicio</t>
  </si>
  <si>
    <t>final</t>
  </si>
  <si>
    <t>Ác. acético</t>
  </si>
  <si>
    <t>masa(gramos)</t>
  </si>
  <si>
    <t>%masa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</si>
</sst>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8" xfId="0" applyBorder="1"/>
    <xf numFmtId="2" fontId="0" fillId="0" borderId="6" xfId="0" applyNumberFormat="1" applyBorder="1"/>
    <xf numFmtId="164" fontId="0" fillId="0" borderId="6" xfId="0" applyNumberFormat="1" applyBorder="1"/>
    <xf numFmtId="1" fontId="0" fillId="0" borderId="6" xfId="0" applyNumberFormat="1" applyBorder="1"/>
    <xf numFmtId="1" fontId="0" fillId="2" borderId="6" xfId="0" applyNumberFormat="1" applyFill="1" applyBorder="1"/>
    <xf numFmtId="1" fontId="0" fillId="0" borderId="15" xfId="0" applyNumberFormat="1" applyBorder="1"/>
    <xf numFmtId="0" fontId="0" fillId="0" borderId="12" xfId="0" applyBorder="1"/>
    <xf numFmtId="0" fontId="0" fillId="0" borderId="13" xfId="0" applyBorder="1"/>
    <xf numFmtId="2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1" fontId="0" fillId="0" borderId="21" xfId="0" applyNumberFormat="1" applyBorder="1"/>
    <xf numFmtId="0" fontId="0" fillId="0" borderId="24" xfId="0" applyBorder="1" applyAlignment="1">
      <alignment horizontal="center"/>
    </xf>
    <xf numFmtId="0" fontId="0" fillId="3" borderId="23" xfId="0" applyFill="1" applyBorder="1" applyAlignment="1">
      <alignment horizontal="center"/>
    </xf>
    <xf numFmtId="1" fontId="0" fillId="3" borderId="20" xfId="0" applyNumberFormat="1" applyFill="1" applyBorder="1"/>
    <xf numFmtId="1" fontId="0" fillId="3" borderId="8" xfId="0" applyNumberFormat="1" applyFill="1" applyBorder="1"/>
    <xf numFmtId="1" fontId="0" fillId="3" borderId="22" xfId="0" applyNumberFormat="1" applyFill="1" applyBorder="1"/>
    <xf numFmtId="1" fontId="0" fillId="3" borderId="13" xfId="0" applyNumberFormat="1" applyFill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5" xfId="0" applyBorder="1"/>
    <xf numFmtId="1" fontId="0" fillId="0" borderId="26" xfId="0" applyNumberFormat="1" applyBorder="1"/>
    <xf numFmtId="1" fontId="0" fillId="0" borderId="27" xfId="0" applyNumberFormat="1" applyBorder="1"/>
    <xf numFmtId="1" fontId="0" fillId="0" borderId="28" xfId="0" applyNumberFormat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" fontId="0" fillId="2" borderId="14" xfId="0" applyNumberFormat="1" applyFill="1" applyBorder="1"/>
    <xf numFmtId="2" fontId="0" fillId="0" borderId="32" xfId="0" applyNumberFormat="1" applyBorder="1"/>
    <xf numFmtId="2" fontId="0" fillId="0" borderId="33" xfId="0" applyNumberFormat="1" applyBorder="1"/>
    <xf numFmtId="1" fontId="0" fillId="0" borderId="3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0F2E-28BA-4B6C-BE3B-5AC603C0D66C}">
  <dimension ref="B2:L33"/>
  <sheetViews>
    <sheetView workbookViewId="0">
      <selection activeCell="B2" sqref="B2:F6"/>
    </sheetView>
  </sheetViews>
  <sheetFormatPr baseColWidth="10" defaultRowHeight="14.4" x14ac:dyDescent="0.3"/>
  <cols>
    <col min="8" max="8" width="13.109375" customWidth="1"/>
    <col min="10" max="10" width="8.5546875" customWidth="1"/>
  </cols>
  <sheetData>
    <row r="2" spans="2:12" ht="15" thickBot="1" x14ac:dyDescent="0.35">
      <c r="B2" t="s">
        <v>0</v>
      </c>
    </row>
    <row r="3" spans="2:12" ht="15" thickBot="1" x14ac:dyDescent="0.35">
      <c r="D3" s="32" t="s">
        <v>9</v>
      </c>
      <c r="E3" s="33"/>
      <c r="F3" s="34"/>
    </row>
    <row r="4" spans="2:12" x14ac:dyDescent="0.3">
      <c r="D4" s="8" t="s">
        <v>3</v>
      </c>
      <c r="E4" s="8" t="s">
        <v>7</v>
      </c>
      <c r="F4" s="8" t="s">
        <v>8</v>
      </c>
    </row>
    <row r="5" spans="2:12" x14ac:dyDescent="0.3">
      <c r="D5" s="7">
        <v>0.99819999999999998</v>
      </c>
      <c r="E5" s="7">
        <v>1.53</v>
      </c>
      <c r="F5" s="7">
        <v>1.0489999999999999</v>
      </c>
    </row>
    <row r="6" spans="2:12" x14ac:dyDescent="0.3">
      <c r="B6" t="s">
        <v>1</v>
      </c>
    </row>
    <row r="7" spans="2:12" ht="15" thickBot="1" x14ac:dyDescent="0.35">
      <c r="B7" t="s">
        <v>2</v>
      </c>
      <c r="C7" t="s">
        <v>4</v>
      </c>
      <c r="D7" t="s">
        <v>5</v>
      </c>
      <c r="E7" t="s">
        <v>6</v>
      </c>
      <c r="G7" s="7" t="s">
        <v>10</v>
      </c>
      <c r="H7" s="7" t="s">
        <v>11</v>
      </c>
      <c r="I7" s="7" t="s">
        <v>12</v>
      </c>
      <c r="J7" s="7" t="s">
        <v>10</v>
      </c>
      <c r="K7" s="7" t="s">
        <v>11</v>
      </c>
      <c r="L7" s="7" t="s">
        <v>12</v>
      </c>
    </row>
    <row r="8" spans="2:12" x14ac:dyDescent="0.3">
      <c r="B8" s="2">
        <v>1</v>
      </c>
      <c r="C8" s="7">
        <v>95</v>
      </c>
      <c r="D8" s="7">
        <v>5</v>
      </c>
      <c r="E8" s="7"/>
      <c r="G8" s="10">
        <f>C8/$D$5</f>
        <v>95.171308355039073</v>
      </c>
      <c r="H8" s="10">
        <f>D8/$E$5</f>
        <v>3.2679738562091503</v>
      </c>
      <c r="I8" s="10">
        <f>E8/$F$5</f>
        <v>0</v>
      </c>
      <c r="J8" s="11">
        <f>G8/3</f>
        <v>31.72376945167969</v>
      </c>
      <c r="K8" s="11">
        <f t="shared" ref="K8:L8" si="0">H8/3</f>
        <v>1.0893246187363834</v>
      </c>
      <c r="L8" s="11">
        <f t="shared" si="0"/>
        <v>0</v>
      </c>
    </row>
    <row r="9" spans="2:12" ht="15" thickBot="1" x14ac:dyDescent="0.35">
      <c r="B9" s="3"/>
      <c r="C9" s="7">
        <v>71</v>
      </c>
      <c r="D9" s="7">
        <v>3</v>
      </c>
      <c r="E9" s="7">
        <v>26</v>
      </c>
      <c r="F9">
        <f>C9+D9+E9</f>
        <v>100</v>
      </c>
      <c r="G9" s="10">
        <f t="shared" ref="G9:G31" si="1">C9/$D$5</f>
        <v>71.128030454818671</v>
      </c>
      <c r="H9" s="10">
        <f t="shared" ref="H9:H31" si="2">D9/$E$5</f>
        <v>1.9607843137254901</v>
      </c>
      <c r="I9" s="10">
        <f t="shared" ref="I9:I31" si="3">E9/$F$5</f>
        <v>24.785510009532889</v>
      </c>
      <c r="J9" s="12">
        <f t="shared" ref="J9:J31" si="4">G9/3</f>
        <v>23.709343484939556</v>
      </c>
      <c r="K9" s="12">
        <f t="shared" ref="K9:K31" si="5">H9/3</f>
        <v>0.65359477124183007</v>
      </c>
      <c r="L9" s="12">
        <f t="shared" ref="L9:L31" si="6">I9/3</f>
        <v>8.2618366698442962</v>
      </c>
    </row>
    <row r="10" spans="2:12" x14ac:dyDescent="0.3">
      <c r="B10" s="2">
        <v>2</v>
      </c>
      <c r="C10" s="7">
        <v>85</v>
      </c>
      <c r="D10" s="7">
        <v>15</v>
      </c>
      <c r="E10" s="7"/>
      <c r="F10">
        <f t="shared" ref="F10:F31" si="7">C10+D10+E10</f>
        <v>100</v>
      </c>
      <c r="G10" s="10">
        <f t="shared" si="1"/>
        <v>85.153275896613906</v>
      </c>
      <c r="H10" s="10">
        <f t="shared" si="2"/>
        <v>9.8039215686274517</v>
      </c>
      <c r="I10" s="10">
        <f t="shared" si="3"/>
        <v>0</v>
      </c>
      <c r="J10" s="11">
        <f t="shared" si="4"/>
        <v>28.384425298871303</v>
      </c>
      <c r="K10" s="11">
        <f t="shared" si="5"/>
        <v>3.2679738562091507</v>
      </c>
      <c r="L10" s="11">
        <f t="shared" si="6"/>
        <v>0</v>
      </c>
    </row>
    <row r="11" spans="2:12" ht="15" thickBot="1" x14ac:dyDescent="0.35">
      <c r="B11" s="3"/>
      <c r="C11" s="7">
        <v>51</v>
      </c>
      <c r="D11" s="7">
        <v>9</v>
      </c>
      <c r="E11" s="7">
        <v>40</v>
      </c>
      <c r="F11">
        <f t="shared" si="7"/>
        <v>100</v>
      </c>
      <c r="G11" s="10">
        <f t="shared" si="1"/>
        <v>51.091965537968342</v>
      </c>
      <c r="H11" s="10">
        <f t="shared" si="2"/>
        <v>5.8823529411764701</v>
      </c>
      <c r="I11" s="10">
        <f t="shared" si="3"/>
        <v>38.131553860819828</v>
      </c>
      <c r="J11" s="12">
        <f t="shared" si="4"/>
        <v>17.030655179322782</v>
      </c>
      <c r="K11" s="12">
        <f t="shared" si="5"/>
        <v>1.9607843137254901</v>
      </c>
      <c r="L11" s="12">
        <f t="shared" si="6"/>
        <v>12.71051795360661</v>
      </c>
    </row>
    <row r="12" spans="2:12" x14ac:dyDescent="0.3">
      <c r="B12" s="2">
        <v>3</v>
      </c>
      <c r="C12" s="7">
        <v>75</v>
      </c>
      <c r="D12" s="7">
        <v>25</v>
      </c>
      <c r="E12" s="7"/>
      <c r="F12">
        <f t="shared" si="7"/>
        <v>100</v>
      </c>
      <c r="G12" s="10">
        <f t="shared" si="1"/>
        <v>75.135243438188738</v>
      </c>
      <c r="H12" s="10">
        <f t="shared" si="2"/>
        <v>16.33986928104575</v>
      </c>
      <c r="I12" s="10">
        <f t="shared" si="3"/>
        <v>0</v>
      </c>
      <c r="J12" s="11">
        <f t="shared" si="4"/>
        <v>25.045081146062913</v>
      </c>
      <c r="K12" s="11">
        <f t="shared" si="5"/>
        <v>5.4466230936819171</v>
      </c>
      <c r="L12" s="11">
        <f t="shared" si="6"/>
        <v>0</v>
      </c>
    </row>
    <row r="13" spans="2:12" ht="15" thickBot="1" x14ac:dyDescent="0.35">
      <c r="B13" s="3"/>
      <c r="C13" s="7">
        <v>40</v>
      </c>
      <c r="D13" s="7">
        <v>23</v>
      </c>
      <c r="E13" s="7">
        <v>47</v>
      </c>
      <c r="F13">
        <f t="shared" si="7"/>
        <v>110</v>
      </c>
      <c r="G13" s="10">
        <f t="shared" si="1"/>
        <v>40.072129833700664</v>
      </c>
      <c r="H13" s="10">
        <f t="shared" si="2"/>
        <v>15.032679738562091</v>
      </c>
      <c r="I13" s="10">
        <f t="shared" si="3"/>
        <v>44.804575786463303</v>
      </c>
      <c r="J13" s="12">
        <f t="shared" si="4"/>
        <v>13.357376611233555</v>
      </c>
      <c r="K13" s="12">
        <f t="shared" si="5"/>
        <v>5.0108932461873641</v>
      </c>
      <c r="L13" s="12">
        <f t="shared" si="6"/>
        <v>14.934858595487768</v>
      </c>
    </row>
    <row r="14" spans="2:12" x14ac:dyDescent="0.3">
      <c r="B14" s="2">
        <v>4</v>
      </c>
      <c r="C14" s="7">
        <v>65</v>
      </c>
      <c r="D14" s="7">
        <v>35</v>
      </c>
      <c r="E14" s="7"/>
      <c r="F14">
        <f t="shared" si="7"/>
        <v>100</v>
      </c>
      <c r="G14" s="10">
        <f t="shared" si="1"/>
        <v>65.11721097976357</v>
      </c>
      <c r="H14" s="10">
        <f t="shared" si="2"/>
        <v>22.875816993464053</v>
      </c>
      <c r="I14" s="10">
        <f t="shared" si="3"/>
        <v>0</v>
      </c>
      <c r="J14" s="11">
        <f t="shared" si="4"/>
        <v>21.705736993254522</v>
      </c>
      <c r="K14" s="11">
        <f t="shared" si="5"/>
        <v>7.6252723311546839</v>
      </c>
      <c r="L14" s="11">
        <f t="shared" si="6"/>
        <v>0</v>
      </c>
    </row>
    <row r="15" spans="2:12" ht="15" thickBot="1" x14ac:dyDescent="0.35">
      <c r="B15" s="3"/>
      <c r="C15" s="7">
        <v>33</v>
      </c>
      <c r="D15" s="7">
        <v>17</v>
      </c>
      <c r="E15" s="7">
        <v>50</v>
      </c>
      <c r="F15">
        <f t="shared" si="7"/>
        <v>100</v>
      </c>
      <c r="G15" s="10">
        <f t="shared" si="1"/>
        <v>33.059507112803047</v>
      </c>
      <c r="H15" s="10">
        <f t="shared" si="2"/>
        <v>11.111111111111111</v>
      </c>
      <c r="I15" s="10">
        <f t="shared" si="3"/>
        <v>47.66444232602479</v>
      </c>
      <c r="J15" s="12">
        <f t="shared" si="4"/>
        <v>11.019835704267683</v>
      </c>
      <c r="K15" s="12">
        <f t="shared" si="5"/>
        <v>3.7037037037037037</v>
      </c>
      <c r="L15" s="12">
        <f t="shared" si="6"/>
        <v>15.888147442008263</v>
      </c>
    </row>
    <row r="16" spans="2:12" x14ac:dyDescent="0.3">
      <c r="B16" s="2">
        <v>5</v>
      </c>
      <c r="C16" s="7">
        <v>55</v>
      </c>
      <c r="D16" s="7">
        <v>45</v>
      </c>
      <c r="E16" s="7"/>
      <c r="F16">
        <f t="shared" si="7"/>
        <v>100</v>
      </c>
      <c r="G16" s="10">
        <f t="shared" si="1"/>
        <v>55.099178521338409</v>
      </c>
      <c r="H16" s="10">
        <f t="shared" si="2"/>
        <v>29.411764705882351</v>
      </c>
      <c r="I16" s="10">
        <f t="shared" si="3"/>
        <v>0</v>
      </c>
      <c r="J16" s="11">
        <f t="shared" si="4"/>
        <v>18.366392840446135</v>
      </c>
      <c r="K16" s="11">
        <f t="shared" si="5"/>
        <v>9.8039215686274499</v>
      </c>
      <c r="L16" s="11">
        <f t="shared" si="6"/>
        <v>0</v>
      </c>
    </row>
    <row r="17" spans="2:12" ht="15" thickBot="1" x14ac:dyDescent="0.35">
      <c r="B17" s="3"/>
      <c r="C17" s="7">
        <v>26</v>
      </c>
      <c r="D17" s="7">
        <v>23</v>
      </c>
      <c r="E17" s="7">
        <v>51</v>
      </c>
      <c r="F17">
        <f t="shared" si="7"/>
        <v>100</v>
      </c>
      <c r="G17" s="10">
        <f t="shared" si="1"/>
        <v>26.046884391905429</v>
      </c>
      <c r="H17" s="10">
        <f t="shared" si="2"/>
        <v>15.032679738562091</v>
      </c>
      <c r="I17" s="10">
        <f t="shared" si="3"/>
        <v>48.617731172545284</v>
      </c>
      <c r="J17" s="12">
        <f t="shared" si="4"/>
        <v>8.6822947973018092</v>
      </c>
      <c r="K17" s="12">
        <f t="shared" si="5"/>
        <v>5.0108932461873641</v>
      </c>
      <c r="L17" s="12">
        <f t="shared" si="6"/>
        <v>16.205910390848427</v>
      </c>
    </row>
    <row r="18" spans="2:12" x14ac:dyDescent="0.3">
      <c r="B18" s="2">
        <v>6</v>
      </c>
      <c r="C18" s="7">
        <v>45</v>
      </c>
      <c r="D18" s="7">
        <v>55</v>
      </c>
      <c r="E18" s="7"/>
      <c r="F18">
        <f t="shared" si="7"/>
        <v>100</v>
      </c>
      <c r="G18" s="10">
        <f t="shared" si="1"/>
        <v>45.081146062913248</v>
      </c>
      <c r="H18" s="10">
        <f t="shared" si="2"/>
        <v>35.947712418300654</v>
      </c>
      <c r="I18" s="10">
        <f t="shared" si="3"/>
        <v>0</v>
      </c>
      <c r="J18" s="11">
        <f t="shared" si="4"/>
        <v>15.02704868763775</v>
      </c>
      <c r="K18" s="11">
        <f t="shared" si="5"/>
        <v>11.982570806100219</v>
      </c>
      <c r="L18" s="11">
        <f t="shared" si="6"/>
        <v>0</v>
      </c>
    </row>
    <row r="19" spans="2:12" ht="15" thickBot="1" x14ac:dyDescent="0.35">
      <c r="B19" s="3"/>
      <c r="C19" s="7">
        <v>22</v>
      </c>
      <c r="D19" s="7">
        <v>27</v>
      </c>
      <c r="E19" s="7">
        <v>51</v>
      </c>
      <c r="F19">
        <f t="shared" si="7"/>
        <v>100</v>
      </c>
      <c r="G19" s="10">
        <f t="shared" si="1"/>
        <v>22.039671408535366</v>
      </c>
      <c r="H19" s="10">
        <f t="shared" si="2"/>
        <v>17.647058823529413</v>
      </c>
      <c r="I19" s="10">
        <f t="shared" si="3"/>
        <v>48.617731172545284</v>
      </c>
      <c r="J19" s="12">
        <f t="shared" si="4"/>
        <v>7.346557136178455</v>
      </c>
      <c r="K19" s="12">
        <f t="shared" si="5"/>
        <v>5.882352941176471</v>
      </c>
      <c r="L19" s="12">
        <f t="shared" si="6"/>
        <v>16.205910390848427</v>
      </c>
    </row>
    <row r="20" spans="2:12" x14ac:dyDescent="0.3">
      <c r="B20" s="2">
        <v>7</v>
      </c>
      <c r="C20" s="7">
        <v>35</v>
      </c>
      <c r="D20" s="7">
        <v>65</v>
      </c>
      <c r="E20" s="7"/>
      <c r="F20">
        <f t="shared" si="7"/>
        <v>100</v>
      </c>
      <c r="G20" s="10">
        <f t="shared" si="1"/>
        <v>35.06311360448808</v>
      </c>
      <c r="H20" s="10">
        <f t="shared" si="2"/>
        <v>42.483660130718953</v>
      </c>
      <c r="I20" s="10">
        <f t="shared" si="3"/>
        <v>0</v>
      </c>
      <c r="J20" s="11">
        <f t="shared" si="4"/>
        <v>11.68770453482936</v>
      </c>
      <c r="K20" s="11">
        <f t="shared" si="5"/>
        <v>14.161220043572984</v>
      </c>
      <c r="L20" s="11">
        <f t="shared" si="6"/>
        <v>0</v>
      </c>
    </row>
    <row r="21" spans="2:12" ht="15" thickBot="1" x14ac:dyDescent="0.35">
      <c r="B21" s="3"/>
      <c r="C21" s="7">
        <v>17</v>
      </c>
      <c r="D21" s="7">
        <v>33</v>
      </c>
      <c r="E21" s="7">
        <v>50</v>
      </c>
      <c r="F21">
        <f t="shared" si="7"/>
        <v>100</v>
      </c>
      <c r="G21" s="10">
        <f t="shared" si="1"/>
        <v>17.030655179322782</v>
      </c>
      <c r="H21" s="10">
        <f t="shared" si="2"/>
        <v>21.56862745098039</v>
      </c>
      <c r="I21" s="10">
        <f t="shared" si="3"/>
        <v>47.66444232602479</v>
      </c>
      <c r="J21" s="12">
        <f t="shared" si="4"/>
        <v>5.6768850597742606</v>
      </c>
      <c r="K21" s="12">
        <f t="shared" si="5"/>
        <v>7.18954248366013</v>
      </c>
      <c r="L21" s="12">
        <f t="shared" si="6"/>
        <v>15.888147442008263</v>
      </c>
    </row>
    <row r="22" spans="2:12" x14ac:dyDescent="0.3">
      <c r="B22" s="2">
        <v>8</v>
      </c>
      <c r="C22" s="7">
        <v>25</v>
      </c>
      <c r="D22" s="7">
        <v>75</v>
      </c>
      <c r="E22" s="7"/>
      <c r="F22">
        <f t="shared" si="7"/>
        <v>100</v>
      </c>
      <c r="G22" s="10">
        <f t="shared" si="1"/>
        <v>25.045081146062913</v>
      </c>
      <c r="H22" s="10">
        <f t="shared" si="2"/>
        <v>49.019607843137251</v>
      </c>
      <c r="I22" s="10">
        <f t="shared" si="3"/>
        <v>0</v>
      </c>
      <c r="J22" s="11">
        <f t="shared" si="4"/>
        <v>8.3483603820209709</v>
      </c>
      <c r="K22" s="11">
        <f t="shared" si="5"/>
        <v>16.33986928104575</v>
      </c>
      <c r="L22" s="11">
        <f t="shared" si="6"/>
        <v>0</v>
      </c>
    </row>
    <row r="23" spans="2:12" ht="15" thickBot="1" x14ac:dyDescent="0.35">
      <c r="B23" s="3"/>
      <c r="C23" s="7">
        <v>13</v>
      </c>
      <c r="D23" s="7">
        <v>40</v>
      </c>
      <c r="E23" s="7">
        <v>47</v>
      </c>
      <c r="F23">
        <f t="shared" si="7"/>
        <v>100</v>
      </c>
      <c r="G23" s="10">
        <f t="shared" si="1"/>
        <v>13.023442195952715</v>
      </c>
      <c r="H23" s="10">
        <f t="shared" si="2"/>
        <v>26.143790849673202</v>
      </c>
      <c r="I23" s="10">
        <f t="shared" si="3"/>
        <v>44.804575786463303</v>
      </c>
      <c r="J23" s="12">
        <f t="shared" si="4"/>
        <v>4.3411473986509046</v>
      </c>
      <c r="K23" s="12">
        <f t="shared" si="5"/>
        <v>8.7145969498910674</v>
      </c>
      <c r="L23" s="12">
        <f t="shared" si="6"/>
        <v>14.934858595487768</v>
      </c>
    </row>
    <row r="24" spans="2:12" x14ac:dyDescent="0.3">
      <c r="B24" s="2">
        <v>9</v>
      </c>
      <c r="C24" s="7">
        <v>15</v>
      </c>
      <c r="D24" s="7">
        <v>85</v>
      </c>
      <c r="E24" s="7"/>
      <c r="F24">
        <f t="shared" si="7"/>
        <v>100</v>
      </c>
      <c r="G24" s="10">
        <f t="shared" si="1"/>
        <v>15.027048687637748</v>
      </c>
      <c r="H24" s="10">
        <f t="shared" si="2"/>
        <v>55.555555555555557</v>
      </c>
      <c r="I24" s="10">
        <f t="shared" si="3"/>
        <v>0</v>
      </c>
      <c r="J24" s="11">
        <f t="shared" si="4"/>
        <v>5.009016229212583</v>
      </c>
      <c r="K24" s="11">
        <f t="shared" si="5"/>
        <v>18.518518518518519</v>
      </c>
      <c r="L24" s="11">
        <f t="shared" si="6"/>
        <v>0</v>
      </c>
    </row>
    <row r="25" spans="2:12" ht="15" thickBot="1" x14ac:dyDescent="0.35">
      <c r="B25" s="3"/>
      <c r="C25" s="7">
        <v>8</v>
      </c>
      <c r="D25" s="7">
        <v>49</v>
      </c>
      <c r="E25" s="7">
        <v>43</v>
      </c>
      <c r="F25">
        <f t="shared" si="7"/>
        <v>100</v>
      </c>
      <c r="G25" s="10">
        <f t="shared" si="1"/>
        <v>8.0144259667401325</v>
      </c>
      <c r="H25" s="10">
        <f t="shared" si="2"/>
        <v>32.026143790849673</v>
      </c>
      <c r="I25" s="10">
        <f t="shared" si="3"/>
        <v>40.991420400381315</v>
      </c>
      <c r="J25" s="12">
        <f t="shared" si="4"/>
        <v>2.6714753222467107</v>
      </c>
      <c r="K25" s="12">
        <f t="shared" si="5"/>
        <v>10.675381263616558</v>
      </c>
      <c r="L25" s="12">
        <f t="shared" si="6"/>
        <v>13.663806800127105</v>
      </c>
    </row>
    <row r="26" spans="2:12" x14ac:dyDescent="0.3">
      <c r="B26" s="2">
        <v>10</v>
      </c>
      <c r="C26" s="7">
        <v>5</v>
      </c>
      <c r="D26" s="7">
        <v>95</v>
      </c>
      <c r="E26" s="7"/>
      <c r="F26">
        <f t="shared" si="7"/>
        <v>100</v>
      </c>
      <c r="G26" s="10">
        <f t="shared" si="1"/>
        <v>5.009016229212583</v>
      </c>
      <c r="H26" s="10">
        <f t="shared" si="2"/>
        <v>62.091503267973856</v>
      </c>
      <c r="I26" s="10">
        <f t="shared" si="3"/>
        <v>0</v>
      </c>
      <c r="J26" s="11">
        <f t="shared" si="4"/>
        <v>1.6696720764041943</v>
      </c>
      <c r="K26" s="11">
        <f t="shared" si="5"/>
        <v>20.697167755991284</v>
      </c>
      <c r="L26" s="11">
        <f t="shared" si="6"/>
        <v>0</v>
      </c>
    </row>
    <row r="27" spans="2:12" ht="15" thickBot="1" x14ac:dyDescent="0.35">
      <c r="B27" s="3"/>
      <c r="C27" s="7">
        <v>3</v>
      </c>
      <c r="D27" s="7">
        <v>67</v>
      </c>
      <c r="E27" s="7">
        <v>30</v>
      </c>
      <c r="F27">
        <f t="shared" si="7"/>
        <v>100</v>
      </c>
      <c r="G27" s="10">
        <f t="shared" si="1"/>
        <v>3.0054097375275495</v>
      </c>
      <c r="H27" s="10">
        <f t="shared" si="2"/>
        <v>43.790849673202615</v>
      </c>
      <c r="I27" s="10">
        <f t="shared" si="3"/>
        <v>28.598665395614873</v>
      </c>
      <c r="J27" s="12">
        <f t="shared" si="4"/>
        <v>1.0018032458425166</v>
      </c>
      <c r="K27" s="12">
        <f t="shared" si="5"/>
        <v>14.596949891067538</v>
      </c>
      <c r="L27" s="12">
        <f t="shared" si="6"/>
        <v>9.532888465204957</v>
      </c>
    </row>
    <row r="28" spans="2:12" x14ac:dyDescent="0.3">
      <c r="B28" s="2">
        <v>11</v>
      </c>
      <c r="C28" s="7">
        <v>99</v>
      </c>
      <c r="D28" s="7">
        <v>1</v>
      </c>
      <c r="E28" s="7"/>
      <c r="F28">
        <f t="shared" si="7"/>
        <v>100</v>
      </c>
      <c r="G28" s="10">
        <f t="shared" si="1"/>
        <v>99.178521338409141</v>
      </c>
      <c r="H28" s="10">
        <f t="shared" si="2"/>
        <v>0.65359477124183007</v>
      </c>
      <c r="I28" s="10">
        <f t="shared" si="3"/>
        <v>0</v>
      </c>
      <c r="J28" s="11">
        <f>G28/2</f>
        <v>49.58926066920457</v>
      </c>
      <c r="K28" s="9">
        <f t="shared" ref="K28:L28" si="8">H28/2</f>
        <v>0.32679738562091504</v>
      </c>
      <c r="L28" s="11">
        <f t="shared" si="8"/>
        <v>0</v>
      </c>
    </row>
    <row r="29" spans="2:12" ht="15" thickBot="1" x14ac:dyDescent="0.35">
      <c r="B29" s="6"/>
      <c r="C29" s="7"/>
      <c r="D29" s="7"/>
      <c r="E29" s="7"/>
      <c r="F29">
        <f t="shared" si="7"/>
        <v>0</v>
      </c>
      <c r="G29" s="10">
        <f t="shared" si="1"/>
        <v>0</v>
      </c>
      <c r="H29" s="10">
        <f t="shared" si="2"/>
        <v>0</v>
      </c>
      <c r="I29" s="10">
        <f t="shared" si="3"/>
        <v>0</v>
      </c>
      <c r="J29" s="11">
        <f t="shared" si="4"/>
        <v>0</v>
      </c>
      <c r="K29" s="11">
        <f t="shared" si="5"/>
        <v>0</v>
      </c>
      <c r="L29" s="11">
        <f t="shared" si="6"/>
        <v>0</v>
      </c>
    </row>
    <row r="30" spans="2:12" x14ac:dyDescent="0.3">
      <c r="B30" s="30">
        <v>12</v>
      </c>
      <c r="C30" s="7">
        <v>2</v>
      </c>
      <c r="D30" s="7">
        <v>98</v>
      </c>
      <c r="E30" s="7"/>
      <c r="F30">
        <f t="shared" si="7"/>
        <v>100</v>
      </c>
      <c r="G30" s="10">
        <f t="shared" si="1"/>
        <v>2.0036064916850331</v>
      </c>
      <c r="H30" s="10">
        <f t="shared" si="2"/>
        <v>64.052287581699346</v>
      </c>
      <c r="I30" s="10">
        <f t="shared" si="3"/>
        <v>0</v>
      </c>
      <c r="J30" s="11">
        <f>G30/3</f>
        <v>0.66786883056167767</v>
      </c>
      <c r="K30" s="11">
        <f t="shared" si="5"/>
        <v>21.350762527233115</v>
      </c>
      <c r="L30" s="11">
        <f t="shared" si="6"/>
        <v>0</v>
      </c>
    </row>
    <row r="31" spans="2:12" ht="15" thickBot="1" x14ac:dyDescent="0.35">
      <c r="B31" s="31"/>
      <c r="C31" s="7"/>
      <c r="D31" s="7"/>
      <c r="E31" s="7"/>
      <c r="F31">
        <f t="shared" si="7"/>
        <v>0</v>
      </c>
      <c r="G31" s="10">
        <f t="shared" si="1"/>
        <v>0</v>
      </c>
      <c r="H31" s="10">
        <f t="shared" si="2"/>
        <v>0</v>
      </c>
      <c r="I31" s="10">
        <f t="shared" si="3"/>
        <v>0</v>
      </c>
      <c r="J31" s="11">
        <f t="shared" si="4"/>
        <v>0</v>
      </c>
      <c r="K31" s="11">
        <f t="shared" si="5"/>
        <v>0</v>
      </c>
      <c r="L31" s="11">
        <f t="shared" si="6"/>
        <v>0</v>
      </c>
    </row>
    <row r="32" spans="2:12" x14ac:dyDescent="0.3">
      <c r="C32" s="5"/>
      <c r="D32" s="5"/>
      <c r="E32" s="5"/>
      <c r="F32" s="5"/>
    </row>
    <row r="33" spans="3:6" x14ac:dyDescent="0.3">
      <c r="C33" s="5"/>
      <c r="D33" s="5"/>
      <c r="E33" s="5"/>
      <c r="F33" s="5"/>
    </row>
  </sheetData>
  <mergeCells count="2">
    <mergeCell ref="B30:B31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A1DA-92E8-4095-B2DA-E606C79F79AE}">
  <dimension ref="B3:L33"/>
  <sheetViews>
    <sheetView tabSelected="1" topLeftCell="A6" zoomScale="90" zoomScaleNormal="90" workbookViewId="0">
      <selection activeCell="J8" sqref="J8:L33"/>
    </sheetView>
  </sheetViews>
  <sheetFormatPr baseColWidth="10" defaultRowHeight="14.4" x14ac:dyDescent="0.3"/>
  <cols>
    <col min="1" max="1" width="5.44140625" customWidth="1"/>
    <col min="4" max="4" width="7.88671875" customWidth="1"/>
    <col min="5" max="5" width="10.77734375" customWidth="1"/>
    <col min="6" max="6" width="10.33203125" customWidth="1"/>
    <col min="7" max="7" width="10" customWidth="1"/>
    <col min="8" max="8" width="9" customWidth="1"/>
    <col min="9" max="9" width="9.88671875" customWidth="1"/>
    <col min="10" max="10" width="8.109375" customWidth="1"/>
    <col min="11" max="11" width="10.109375" customWidth="1"/>
    <col min="12" max="12" width="9.77734375" customWidth="1"/>
  </cols>
  <sheetData>
    <row r="3" spans="2:12" ht="15" thickBot="1" x14ac:dyDescent="0.35">
      <c r="D3" s="22" t="s">
        <v>0</v>
      </c>
      <c r="E3" s="22"/>
      <c r="F3" s="22"/>
    </row>
    <row r="4" spans="2:12" ht="15" thickBot="1" x14ac:dyDescent="0.35">
      <c r="F4" s="32" t="s">
        <v>9</v>
      </c>
      <c r="G4" s="33"/>
      <c r="H4" s="34"/>
    </row>
    <row r="5" spans="2:12" ht="15" thickBot="1" x14ac:dyDescent="0.35">
      <c r="F5" s="4" t="s">
        <v>3</v>
      </c>
      <c r="G5" s="21" t="s">
        <v>7</v>
      </c>
      <c r="H5" s="4" t="s">
        <v>8</v>
      </c>
    </row>
    <row r="6" spans="2:12" ht="15" thickBot="1" x14ac:dyDescent="0.35">
      <c r="F6" s="17">
        <v>0.99819999999999998</v>
      </c>
      <c r="G6" s="18">
        <v>1.53</v>
      </c>
      <c r="H6" s="19">
        <v>1.0489999999999999</v>
      </c>
    </row>
    <row r="7" spans="2:12" ht="15" thickBot="1" x14ac:dyDescent="0.35">
      <c r="B7" s="20"/>
      <c r="C7" s="21"/>
      <c r="D7" s="21" t="s">
        <v>1</v>
      </c>
      <c r="E7" s="21"/>
      <c r="F7" s="1"/>
    </row>
    <row r="8" spans="2:12" ht="15" thickBot="1" x14ac:dyDescent="0.35">
      <c r="B8" s="4"/>
      <c r="C8" s="20"/>
      <c r="D8" s="32" t="s">
        <v>13</v>
      </c>
      <c r="E8" s="33"/>
      <c r="F8" s="33"/>
      <c r="G8" s="32" t="s">
        <v>18</v>
      </c>
      <c r="H8" s="33"/>
      <c r="I8" s="34"/>
      <c r="J8" s="33" t="s">
        <v>19</v>
      </c>
      <c r="K8" s="33"/>
      <c r="L8" s="34"/>
    </row>
    <row r="9" spans="2:12" ht="15" thickBot="1" x14ac:dyDescent="0.35">
      <c r="B9" s="35" t="s">
        <v>2</v>
      </c>
      <c r="C9" s="36"/>
      <c r="D9" s="17" t="s">
        <v>3</v>
      </c>
      <c r="E9" s="18" t="s">
        <v>14</v>
      </c>
      <c r="F9" s="37" t="s">
        <v>17</v>
      </c>
      <c r="G9" s="42" t="s">
        <v>3</v>
      </c>
      <c r="H9" s="43" t="s">
        <v>14</v>
      </c>
      <c r="I9" s="44" t="s">
        <v>17</v>
      </c>
      <c r="J9" s="42" t="s">
        <v>3</v>
      </c>
      <c r="K9" s="43" t="s">
        <v>14</v>
      </c>
      <c r="L9" s="44" t="s">
        <v>17</v>
      </c>
    </row>
    <row r="10" spans="2:12" x14ac:dyDescent="0.3">
      <c r="B10" s="2">
        <v>1</v>
      </c>
      <c r="C10" s="25" t="s">
        <v>15</v>
      </c>
      <c r="D10" s="26">
        <v>24</v>
      </c>
      <c r="E10" s="27">
        <v>1</v>
      </c>
      <c r="F10" s="38"/>
      <c r="G10" s="46">
        <f>D10*$F$6</f>
        <v>23.956800000000001</v>
      </c>
      <c r="H10" s="9">
        <f>E10*$G$6</f>
        <v>1.53</v>
      </c>
      <c r="I10" s="47">
        <f>F10*$H$6</f>
        <v>0</v>
      </c>
      <c r="J10" s="48">
        <f>G10*100/(G10+H10+I10)</f>
        <v>93.996892509063514</v>
      </c>
      <c r="K10" s="48">
        <f>H10*100/(G10+H10+I10)</f>
        <v>6.0031074909364843</v>
      </c>
      <c r="L10" s="48">
        <f>I10*100/(G10+H10+I10)</f>
        <v>0</v>
      </c>
    </row>
    <row r="11" spans="2:12" ht="15" thickBot="1" x14ac:dyDescent="0.35">
      <c r="B11" s="3"/>
      <c r="C11" s="24" t="s">
        <v>16</v>
      </c>
      <c r="D11" s="23">
        <v>23.709343484939556</v>
      </c>
      <c r="E11" s="13">
        <v>0.65359477124183007</v>
      </c>
      <c r="F11" s="39">
        <v>8.2618366698442962</v>
      </c>
      <c r="G11" s="46">
        <f t="shared" ref="G11:G33" si="0">D11*$F$6</f>
        <v>23.666666666666664</v>
      </c>
      <c r="H11" s="9">
        <f t="shared" ref="H11:H33" si="1">E11*$G$6</f>
        <v>1</v>
      </c>
      <c r="I11" s="47">
        <f t="shared" ref="I11:I33" si="2">F11*$H$6</f>
        <v>8.6666666666666661</v>
      </c>
      <c r="J11" s="48">
        <f t="shared" ref="J11:J33" si="3">G11*100/(G11+H11+I11)</f>
        <v>71</v>
      </c>
      <c r="K11" s="48">
        <f t="shared" ref="K11:K33" si="4">H11*100/(G11+H11+I11)</f>
        <v>3.0000000000000004</v>
      </c>
      <c r="L11" s="48">
        <f t="shared" ref="L11:L33" si="5">I11*100/(G11+H11+I11)</f>
        <v>26.000000000000004</v>
      </c>
    </row>
    <row r="12" spans="2:12" x14ac:dyDescent="0.3">
      <c r="B12" s="2">
        <v>2</v>
      </c>
      <c r="C12" s="25" t="s">
        <v>15</v>
      </c>
      <c r="D12" s="28">
        <v>17</v>
      </c>
      <c r="E12" s="29">
        <v>2</v>
      </c>
      <c r="F12" s="40"/>
      <c r="G12" s="46">
        <f t="shared" si="0"/>
        <v>16.9694</v>
      </c>
      <c r="H12" s="9">
        <f t="shared" si="1"/>
        <v>3.06</v>
      </c>
      <c r="I12" s="47">
        <f t="shared" si="2"/>
        <v>0</v>
      </c>
      <c r="J12" s="48">
        <f t="shared" si="3"/>
        <v>84.722457986759466</v>
      </c>
      <c r="K12" s="48">
        <f t="shared" si="4"/>
        <v>15.277542013240538</v>
      </c>
      <c r="L12" s="48">
        <f t="shared" si="5"/>
        <v>0</v>
      </c>
    </row>
    <row r="13" spans="2:12" ht="15" thickBot="1" x14ac:dyDescent="0.35">
      <c r="B13" s="3"/>
      <c r="C13" s="24" t="s">
        <v>16</v>
      </c>
      <c r="D13" s="23">
        <v>17.030655179322782</v>
      </c>
      <c r="E13" s="13">
        <v>1.9607843137254901</v>
      </c>
      <c r="F13" s="39">
        <v>12.71051795360661</v>
      </c>
      <c r="G13" s="46">
        <f t="shared" si="0"/>
        <v>17</v>
      </c>
      <c r="H13" s="9">
        <f t="shared" si="1"/>
        <v>3</v>
      </c>
      <c r="I13" s="47">
        <f t="shared" si="2"/>
        <v>13.333333333333332</v>
      </c>
      <c r="J13" s="48">
        <f t="shared" si="3"/>
        <v>51.000000000000007</v>
      </c>
      <c r="K13" s="48">
        <f t="shared" si="4"/>
        <v>9.0000000000000018</v>
      </c>
      <c r="L13" s="48">
        <f t="shared" si="5"/>
        <v>40</v>
      </c>
    </row>
    <row r="14" spans="2:12" x14ac:dyDescent="0.3">
      <c r="B14" s="2">
        <v>3</v>
      </c>
      <c r="C14" s="25" t="s">
        <v>15</v>
      </c>
      <c r="D14" s="28">
        <v>13</v>
      </c>
      <c r="E14" s="29">
        <v>5</v>
      </c>
      <c r="F14" s="40"/>
      <c r="G14" s="46">
        <f t="shared" si="0"/>
        <v>12.976599999999999</v>
      </c>
      <c r="H14" s="9">
        <f t="shared" si="1"/>
        <v>7.65</v>
      </c>
      <c r="I14" s="47">
        <f t="shared" si="2"/>
        <v>0</v>
      </c>
      <c r="J14" s="48">
        <f t="shared" si="3"/>
        <v>62.911968041267095</v>
      </c>
      <c r="K14" s="48">
        <f t="shared" si="4"/>
        <v>37.088031958732898</v>
      </c>
      <c r="L14" s="48">
        <f t="shared" si="5"/>
        <v>0</v>
      </c>
    </row>
    <row r="15" spans="2:12" ht="15" thickBot="1" x14ac:dyDescent="0.35">
      <c r="B15" s="3"/>
      <c r="C15" s="24" t="s">
        <v>16</v>
      </c>
      <c r="D15" s="23">
        <v>13.357376611233555</v>
      </c>
      <c r="E15" s="13">
        <v>5.0108932461873641</v>
      </c>
      <c r="F15" s="39">
        <v>14.934858595487768</v>
      </c>
      <c r="G15" s="46">
        <f t="shared" si="0"/>
        <v>13.333333333333334</v>
      </c>
      <c r="H15" s="9">
        <f t="shared" si="1"/>
        <v>7.666666666666667</v>
      </c>
      <c r="I15" s="47">
        <f t="shared" si="2"/>
        <v>15.666666666666668</v>
      </c>
      <c r="J15" s="48">
        <f t="shared" si="3"/>
        <v>36.36363636363636</v>
      </c>
      <c r="K15" s="48">
        <f t="shared" si="4"/>
        <v>20.90909090909091</v>
      </c>
      <c r="L15" s="48">
        <f t="shared" si="5"/>
        <v>42.727272727272727</v>
      </c>
    </row>
    <row r="16" spans="2:12" x14ac:dyDescent="0.3">
      <c r="B16" s="2">
        <v>4</v>
      </c>
      <c r="C16" s="25" t="s">
        <v>15</v>
      </c>
      <c r="D16" s="28">
        <v>11</v>
      </c>
      <c r="E16" s="29">
        <v>4</v>
      </c>
      <c r="F16" s="40"/>
      <c r="G16" s="46">
        <f t="shared" si="0"/>
        <v>10.9802</v>
      </c>
      <c r="H16" s="9">
        <f t="shared" si="1"/>
        <v>6.12</v>
      </c>
      <c r="I16" s="47">
        <f t="shared" si="2"/>
        <v>0</v>
      </c>
      <c r="J16" s="48">
        <f t="shared" si="3"/>
        <v>64.210944901229226</v>
      </c>
      <c r="K16" s="48">
        <f t="shared" si="4"/>
        <v>35.789055098770774</v>
      </c>
      <c r="L16" s="48">
        <f t="shared" si="5"/>
        <v>0</v>
      </c>
    </row>
    <row r="17" spans="2:12" ht="15" thickBot="1" x14ac:dyDescent="0.35">
      <c r="B17" s="3"/>
      <c r="C17" s="24" t="s">
        <v>16</v>
      </c>
      <c r="D17" s="23">
        <v>11.019835704267683</v>
      </c>
      <c r="E17" s="13">
        <v>3.7037037037037037</v>
      </c>
      <c r="F17" s="39">
        <v>15.888147442008263</v>
      </c>
      <c r="G17" s="46">
        <f t="shared" si="0"/>
        <v>11</v>
      </c>
      <c r="H17" s="9">
        <f t="shared" si="1"/>
        <v>5.666666666666667</v>
      </c>
      <c r="I17" s="47">
        <f t="shared" si="2"/>
        <v>16.666666666666668</v>
      </c>
      <c r="J17" s="48">
        <f t="shared" si="3"/>
        <v>33</v>
      </c>
      <c r="K17" s="48">
        <f t="shared" si="4"/>
        <v>17</v>
      </c>
      <c r="L17" s="48">
        <f t="shared" si="5"/>
        <v>50</v>
      </c>
    </row>
    <row r="18" spans="2:12" x14ac:dyDescent="0.3">
      <c r="B18" s="2">
        <v>5</v>
      </c>
      <c r="C18" s="25" t="s">
        <v>15</v>
      </c>
      <c r="D18" s="28">
        <v>9</v>
      </c>
      <c r="E18" s="29">
        <v>5</v>
      </c>
      <c r="F18" s="40"/>
      <c r="G18" s="46">
        <f t="shared" si="0"/>
        <v>8.9838000000000005</v>
      </c>
      <c r="H18" s="9">
        <f t="shared" si="1"/>
        <v>7.65</v>
      </c>
      <c r="I18" s="47">
        <f t="shared" si="2"/>
        <v>0</v>
      </c>
      <c r="J18" s="48">
        <f t="shared" si="3"/>
        <v>54.009306352126387</v>
      </c>
      <c r="K18" s="48">
        <f t="shared" si="4"/>
        <v>45.990693647873606</v>
      </c>
      <c r="L18" s="48">
        <f t="shared" si="5"/>
        <v>0</v>
      </c>
    </row>
    <row r="19" spans="2:12" ht="15" thickBot="1" x14ac:dyDescent="0.35">
      <c r="B19" s="3"/>
      <c r="C19" s="24" t="s">
        <v>16</v>
      </c>
      <c r="D19" s="23">
        <v>8.6822947973018092</v>
      </c>
      <c r="E19" s="13">
        <v>5.0108932461873641</v>
      </c>
      <c r="F19" s="39">
        <v>16.205910390848427</v>
      </c>
      <c r="G19" s="46">
        <f t="shared" si="0"/>
        <v>8.6666666666666661</v>
      </c>
      <c r="H19" s="9">
        <f t="shared" si="1"/>
        <v>7.666666666666667</v>
      </c>
      <c r="I19" s="47">
        <f t="shared" si="2"/>
        <v>17</v>
      </c>
      <c r="J19" s="48">
        <f t="shared" si="3"/>
        <v>26.000000000000004</v>
      </c>
      <c r="K19" s="48">
        <f t="shared" si="4"/>
        <v>23.000000000000007</v>
      </c>
      <c r="L19" s="48">
        <f t="shared" si="5"/>
        <v>51.000000000000007</v>
      </c>
    </row>
    <row r="20" spans="2:12" x14ac:dyDescent="0.3">
      <c r="B20" s="2">
        <v>6</v>
      </c>
      <c r="C20" s="25" t="s">
        <v>15</v>
      </c>
      <c r="D20" s="28">
        <v>7</v>
      </c>
      <c r="E20" s="29">
        <v>6</v>
      </c>
      <c r="F20" s="40"/>
      <c r="G20" s="46">
        <f t="shared" si="0"/>
        <v>6.9874000000000001</v>
      </c>
      <c r="H20" s="9">
        <f t="shared" si="1"/>
        <v>9.18</v>
      </c>
      <c r="I20" s="47">
        <f t="shared" si="2"/>
        <v>0</v>
      </c>
      <c r="J20" s="48">
        <f t="shared" si="3"/>
        <v>43.2190704751537</v>
      </c>
      <c r="K20" s="48">
        <f t="shared" si="4"/>
        <v>56.780929524846293</v>
      </c>
      <c r="L20" s="48">
        <f t="shared" si="5"/>
        <v>0</v>
      </c>
    </row>
    <row r="21" spans="2:12" ht="15" thickBot="1" x14ac:dyDescent="0.35">
      <c r="B21" s="3"/>
      <c r="C21" s="24" t="s">
        <v>16</v>
      </c>
      <c r="D21" s="23">
        <v>7.346557136178455</v>
      </c>
      <c r="E21" s="13">
        <v>5.882352941176471</v>
      </c>
      <c r="F21" s="39">
        <v>16.205910390848427</v>
      </c>
      <c r="G21" s="46">
        <f t="shared" si="0"/>
        <v>7.3333333333333339</v>
      </c>
      <c r="H21" s="9">
        <f t="shared" si="1"/>
        <v>9</v>
      </c>
      <c r="I21" s="47">
        <f t="shared" si="2"/>
        <v>17</v>
      </c>
      <c r="J21" s="48">
        <f t="shared" si="3"/>
        <v>22</v>
      </c>
      <c r="K21" s="48">
        <f t="shared" si="4"/>
        <v>26.999999999999996</v>
      </c>
      <c r="L21" s="48">
        <f t="shared" si="5"/>
        <v>50.999999999999993</v>
      </c>
    </row>
    <row r="22" spans="2:12" x14ac:dyDescent="0.3">
      <c r="B22" s="2">
        <v>7</v>
      </c>
      <c r="C22" s="25" t="s">
        <v>15</v>
      </c>
      <c r="D22" s="28">
        <v>6</v>
      </c>
      <c r="E22" s="29">
        <v>7</v>
      </c>
      <c r="F22" s="40"/>
      <c r="G22" s="46">
        <f t="shared" si="0"/>
        <v>5.9892000000000003</v>
      </c>
      <c r="H22" s="9">
        <f t="shared" si="1"/>
        <v>10.71</v>
      </c>
      <c r="I22" s="47">
        <f t="shared" si="2"/>
        <v>0</v>
      </c>
      <c r="J22" s="48">
        <f t="shared" si="3"/>
        <v>35.865191146881287</v>
      </c>
      <c r="K22" s="48">
        <f t="shared" si="4"/>
        <v>64.134808853118713</v>
      </c>
      <c r="L22" s="48">
        <f t="shared" si="5"/>
        <v>0</v>
      </c>
    </row>
    <row r="23" spans="2:12" ht="15" thickBot="1" x14ac:dyDescent="0.35">
      <c r="B23" s="3"/>
      <c r="C23" s="24" t="s">
        <v>16</v>
      </c>
      <c r="D23" s="23">
        <v>5.6768850597742606</v>
      </c>
      <c r="E23" s="13">
        <v>7.18954248366013</v>
      </c>
      <c r="F23" s="39">
        <v>15.888147442008263</v>
      </c>
      <c r="G23" s="46">
        <f t="shared" si="0"/>
        <v>5.666666666666667</v>
      </c>
      <c r="H23" s="9">
        <f t="shared" si="1"/>
        <v>11</v>
      </c>
      <c r="I23" s="47">
        <f t="shared" si="2"/>
        <v>16.666666666666668</v>
      </c>
      <c r="J23" s="48">
        <f t="shared" si="3"/>
        <v>17</v>
      </c>
      <c r="K23" s="48">
        <f t="shared" si="4"/>
        <v>33</v>
      </c>
      <c r="L23" s="48">
        <f t="shared" si="5"/>
        <v>50</v>
      </c>
    </row>
    <row r="24" spans="2:12" x14ac:dyDescent="0.3">
      <c r="B24" s="2">
        <v>8</v>
      </c>
      <c r="C24" s="25" t="s">
        <v>15</v>
      </c>
      <c r="D24" s="28">
        <v>4</v>
      </c>
      <c r="E24" s="29">
        <v>9</v>
      </c>
      <c r="F24" s="40"/>
      <c r="G24" s="46">
        <f t="shared" si="0"/>
        <v>3.9927999999999999</v>
      </c>
      <c r="H24" s="9">
        <f t="shared" si="1"/>
        <v>13.77</v>
      </c>
      <c r="I24" s="47">
        <f t="shared" si="2"/>
        <v>0</v>
      </c>
      <c r="J24" s="48">
        <f t="shared" si="3"/>
        <v>22.478438084085841</v>
      </c>
      <c r="K24" s="48">
        <f t="shared" si="4"/>
        <v>77.521561915914162</v>
      </c>
      <c r="L24" s="48">
        <f t="shared" si="5"/>
        <v>0</v>
      </c>
    </row>
    <row r="25" spans="2:12" ht="15" thickBot="1" x14ac:dyDescent="0.35">
      <c r="B25" s="3"/>
      <c r="C25" s="24" t="s">
        <v>16</v>
      </c>
      <c r="D25" s="23">
        <v>4.3411473986509046</v>
      </c>
      <c r="E25" s="13">
        <v>8.7145969498910674</v>
      </c>
      <c r="F25" s="39">
        <v>14.934858595487768</v>
      </c>
      <c r="G25" s="46">
        <f t="shared" si="0"/>
        <v>4.333333333333333</v>
      </c>
      <c r="H25" s="9">
        <f t="shared" si="1"/>
        <v>13.333333333333334</v>
      </c>
      <c r="I25" s="47">
        <f t="shared" si="2"/>
        <v>15.666666666666668</v>
      </c>
      <c r="J25" s="48">
        <f t="shared" si="3"/>
        <v>12.999999999999998</v>
      </c>
      <c r="K25" s="48">
        <f t="shared" si="4"/>
        <v>40</v>
      </c>
      <c r="L25" s="48">
        <f t="shared" si="5"/>
        <v>47</v>
      </c>
    </row>
    <row r="26" spans="2:12" x14ac:dyDescent="0.3">
      <c r="B26" s="2">
        <v>9</v>
      </c>
      <c r="C26" s="25" t="s">
        <v>15</v>
      </c>
      <c r="D26" s="28">
        <v>3</v>
      </c>
      <c r="E26" s="29">
        <v>11</v>
      </c>
      <c r="F26" s="40"/>
      <c r="G26" s="46">
        <f t="shared" si="0"/>
        <v>2.9946000000000002</v>
      </c>
      <c r="H26" s="9">
        <f t="shared" si="1"/>
        <v>16.830000000000002</v>
      </c>
      <c r="I26" s="47">
        <f t="shared" si="2"/>
        <v>0</v>
      </c>
      <c r="J26" s="48">
        <f t="shared" si="3"/>
        <v>15.105475015889349</v>
      </c>
      <c r="K26" s="48">
        <f t="shared" si="4"/>
        <v>84.894524984110646</v>
      </c>
      <c r="L26" s="48">
        <f t="shared" si="5"/>
        <v>0</v>
      </c>
    </row>
    <row r="27" spans="2:12" ht="15" thickBot="1" x14ac:dyDescent="0.35">
      <c r="B27" s="3"/>
      <c r="C27" s="24" t="s">
        <v>16</v>
      </c>
      <c r="D27" s="23">
        <v>2.6714753222467107</v>
      </c>
      <c r="E27" s="13">
        <v>10.675381263616558</v>
      </c>
      <c r="F27" s="39">
        <v>13.663806800127105</v>
      </c>
      <c r="G27" s="46">
        <f t="shared" si="0"/>
        <v>2.6666666666666665</v>
      </c>
      <c r="H27" s="9">
        <f t="shared" si="1"/>
        <v>16.333333333333332</v>
      </c>
      <c r="I27" s="47">
        <f t="shared" si="2"/>
        <v>14.333333333333332</v>
      </c>
      <c r="J27" s="48">
        <f t="shared" si="3"/>
        <v>8</v>
      </c>
      <c r="K27" s="48">
        <f t="shared" si="4"/>
        <v>49.000000000000007</v>
      </c>
      <c r="L27" s="48">
        <f t="shared" si="5"/>
        <v>43.000000000000007</v>
      </c>
    </row>
    <row r="28" spans="2:12" x14ac:dyDescent="0.3">
      <c r="B28" s="2">
        <v>10</v>
      </c>
      <c r="C28" s="25" t="s">
        <v>15</v>
      </c>
      <c r="D28" s="28">
        <v>1</v>
      </c>
      <c r="E28" s="29">
        <v>15</v>
      </c>
      <c r="F28" s="40"/>
      <c r="G28" s="46">
        <f t="shared" si="0"/>
        <v>0.99819999999999998</v>
      </c>
      <c r="H28" s="9">
        <f t="shared" si="1"/>
        <v>22.95</v>
      </c>
      <c r="I28" s="47">
        <f t="shared" si="2"/>
        <v>0</v>
      </c>
      <c r="J28" s="48">
        <f t="shared" si="3"/>
        <v>4.1681629517040948</v>
      </c>
      <c r="K28" s="48">
        <f t="shared" si="4"/>
        <v>95.83183704829591</v>
      </c>
      <c r="L28" s="48">
        <f t="shared" si="5"/>
        <v>0</v>
      </c>
    </row>
    <row r="29" spans="2:12" ht="15" thickBot="1" x14ac:dyDescent="0.35">
      <c r="B29" s="3"/>
      <c r="C29" s="24" t="s">
        <v>16</v>
      </c>
      <c r="D29" s="23">
        <v>1.0018032458425166</v>
      </c>
      <c r="E29" s="13">
        <v>14.596949891067538</v>
      </c>
      <c r="F29" s="39">
        <v>9.532888465204957</v>
      </c>
      <c r="G29" s="46">
        <f t="shared" si="0"/>
        <v>1</v>
      </c>
      <c r="H29" s="9">
        <f t="shared" si="1"/>
        <v>22.333333333333336</v>
      </c>
      <c r="I29" s="47">
        <f t="shared" si="2"/>
        <v>10</v>
      </c>
      <c r="J29" s="48">
        <f t="shared" si="3"/>
        <v>3</v>
      </c>
      <c r="K29" s="48">
        <f t="shared" si="4"/>
        <v>67</v>
      </c>
      <c r="L29" s="48">
        <f t="shared" si="5"/>
        <v>29.999999999999996</v>
      </c>
    </row>
    <row r="30" spans="2:12" x14ac:dyDescent="0.3">
      <c r="B30" s="2">
        <v>11</v>
      </c>
      <c r="C30" s="6"/>
      <c r="D30" s="14"/>
      <c r="E30" s="15"/>
      <c r="F30" s="41"/>
      <c r="G30" s="46">
        <f t="shared" si="0"/>
        <v>0</v>
      </c>
      <c r="H30" s="9">
        <f t="shared" si="1"/>
        <v>0</v>
      </c>
      <c r="I30" s="47">
        <f t="shared" si="2"/>
        <v>0</v>
      </c>
      <c r="J30" s="48"/>
      <c r="K30" s="48"/>
      <c r="L30" s="48"/>
    </row>
    <row r="31" spans="2:12" ht="15" thickBot="1" x14ac:dyDescent="0.35">
      <c r="B31" s="6"/>
      <c r="C31" s="6"/>
      <c r="D31" s="45">
        <v>49.58926066920457</v>
      </c>
      <c r="E31" s="16">
        <v>0.3</v>
      </c>
      <c r="F31" s="39">
        <v>0</v>
      </c>
      <c r="G31" s="46">
        <f t="shared" si="0"/>
        <v>49.5</v>
      </c>
      <c r="H31" s="9">
        <f t="shared" si="1"/>
        <v>0.45899999999999996</v>
      </c>
      <c r="I31" s="47">
        <f t="shared" si="2"/>
        <v>0</v>
      </c>
      <c r="J31" s="48">
        <f t="shared" si="3"/>
        <v>99.081246622230225</v>
      </c>
      <c r="K31" s="48">
        <f t="shared" si="4"/>
        <v>0.91875337776977117</v>
      </c>
      <c r="L31" s="48">
        <f t="shared" si="5"/>
        <v>0</v>
      </c>
    </row>
    <row r="32" spans="2:12" x14ac:dyDescent="0.3">
      <c r="B32" s="30">
        <v>12</v>
      </c>
      <c r="C32" s="2"/>
      <c r="D32" s="14"/>
      <c r="E32" s="15"/>
      <c r="F32" s="41"/>
      <c r="G32" s="46">
        <f t="shared" si="0"/>
        <v>0</v>
      </c>
      <c r="H32" s="9">
        <f t="shared" si="1"/>
        <v>0</v>
      </c>
      <c r="I32" s="47">
        <f t="shared" si="2"/>
        <v>0</v>
      </c>
      <c r="J32" s="48"/>
      <c r="K32" s="48"/>
      <c r="L32" s="48"/>
    </row>
    <row r="33" spans="2:12" ht="15" thickBot="1" x14ac:dyDescent="0.35">
      <c r="B33" s="31"/>
      <c r="C33" s="3"/>
      <c r="D33" s="45">
        <v>0.66786883056167767</v>
      </c>
      <c r="E33" s="13">
        <v>21.350762527233115</v>
      </c>
      <c r="F33" s="39">
        <v>0</v>
      </c>
      <c r="G33" s="46">
        <f t="shared" si="0"/>
        <v>0.66666666666666663</v>
      </c>
      <c r="H33" s="9">
        <f t="shared" si="1"/>
        <v>32.666666666666664</v>
      </c>
      <c r="I33" s="47">
        <f t="shared" si="2"/>
        <v>0</v>
      </c>
      <c r="J33" s="48">
        <f t="shared" si="3"/>
        <v>2</v>
      </c>
      <c r="K33" s="48">
        <f t="shared" si="4"/>
        <v>98.000000000000014</v>
      </c>
      <c r="L33" s="48">
        <f t="shared" si="5"/>
        <v>0</v>
      </c>
    </row>
  </sheetData>
  <mergeCells count="6">
    <mergeCell ref="J8:L8"/>
    <mergeCell ref="B32:B33"/>
    <mergeCell ref="D8:F8"/>
    <mergeCell ref="F4:H4"/>
    <mergeCell ref="B9:C9"/>
    <mergeCell ref="G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Teodardo</dc:creator>
  <cp:lastModifiedBy>Teodardo</cp:lastModifiedBy>
  <dcterms:created xsi:type="dcterms:W3CDTF">2026-04-11T15:25:52Z</dcterms:created>
  <dcterms:modified xsi:type="dcterms:W3CDTF">2026-04-14T14:54:15Z</dcterms:modified>
</cp:coreProperties>
</file>